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sso Labs Master_Proforma" sheetId="1" r:id="rId4"/>
    <sheet state="hidden" name="Master_Proforma" sheetId="2" r:id="rId5"/>
    <sheet state="hidden" name="Revenue Forecast Model" sheetId="3" r:id="rId6"/>
    <sheet state="visible" name="Tech_AI_Cloud" sheetId="4" r:id="rId7"/>
    <sheet state="visible" name="Inputs_Assumptions" sheetId="5" r:id="rId8"/>
    <sheet state="visible" name="Revenue_Forecast_Model" sheetId="6" r:id="rId9"/>
    <sheet state="visible" name="Marketing_Growth" sheetId="7" r:id="rId10"/>
    <sheet state="visible" name="People" sheetId="8" r:id="rId11"/>
    <sheet state="visible" name="Legal_Ops_Buffer" sheetId="9" r:id="rId12"/>
    <sheet state="visible" name="Cashflow_View" sheetId="10" r:id="rId13"/>
  </sheets>
  <definedNames/>
  <calcPr/>
  <extLst>
    <ext uri="GoogleSheetsCustomDataVersion2">
      <go:sheetsCustomData xmlns:go="http://customooxmlschemas.google.com/" r:id="rId14" roundtripDataChecksum="5JNlancsYCN5xL8/YzAYhwWhNvwXitHj7CHJ/fOIZ8o="/>
    </ext>
  </extLst>
</workbook>
</file>

<file path=xl/sharedStrings.xml><?xml version="1.0" encoding="utf-8"?>
<sst xmlns="http://schemas.openxmlformats.org/spreadsheetml/2006/main" count="362" uniqueCount="143">
  <si>
    <t>Lusso Labs</t>
  </si>
  <si>
    <t>Master_Proforma</t>
  </si>
  <si>
    <t>2026</t>
  </si>
  <si>
    <t>Category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</si>
  <si>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</si>
  <si>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</si>
  <si>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</si>
  <si>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</si>
  <si>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</si>
  <si>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</si>
  <si>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</si>
  <si>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</si>
  <si>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</si>
  <si>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</si>
  <si>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</si>
  <si>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</si>
  <si>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</si>
  <si>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Revenue</t>
  </si>
  <si>
    <t>Variable Costs</t>
  </si>
  <si>
    <t>Gross Profit</t>
  </si>
  <si>
    <t>Gross Profit %</t>
  </si>
  <si>
    <t>OPERATING EXPENSES</t>
  </si>
  <si>
    <t xml:space="preserve"> Direct Labor</t>
  </si>
  <si>
    <t xml:space="preserve"> Indirect Labor</t>
  </si>
  <si>
    <t xml:space="preserve"> Property</t>
  </si>
  <si>
    <t xml:space="preserve"> Utilities</t>
  </si>
  <si>
    <t xml:space="preserve"> Services</t>
  </si>
  <si>
    <t xml:space="preserve"> Office Supplies</t>
  </si>
  <si>
    <t xml:space="preserve"> Technology</t>
  </si>
  <si>
    <t xml:space="preserve"> Marketing</t>
  </si>
  <si>
    <t>Total Expenses</t>
  </si>
  <si>
    <t>Operating Expense %</t>
  </si>
  <si>
    <t>EBITDA</t>
  </si>
  <si>
    <t>EBITDA %</t>
  </si>
  <si>
    <t>Lusso Labs Master_Proforma 2026</t>
  </si>
  <si>
    <t>Page 1 of 1 02/05/26</t>
  </si>
  <si>
    <t>Lusso Labs - Master Proforma (24 Months)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</si>
  <si>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</si>
  <si>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</si>
  <si>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</si>
  <si>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</si>
  <si>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</si>
  <si>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</si>
  <si>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</si>
  <si>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</si>
  <si>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</si>
  <si>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</si>
  <si>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</si>
  <si>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</si>
  <si>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AI / Usage COGS</t>
  </si>
  <si>
    <t>People</t>
  </si>
  <si>
    <t>Tech / AI / Cloud (Fixed)</t>
  </si>
  <si>
    <t>Marketing &amp; Growth</t>
  </si>
  <si>
    <t>Legal / Ops / Buffer</t>
  </si>
  <si>
    <t>Revenue Forecast Model</t>
  </si>
  <si>
    <t>Ask Lusso - Consumer</t>
  </si>
  <si>
    <t>Blended ARPU</t>
  </si>
  <si>
    <t>Launches Month 5 (May) | Target: 8,500 users by Dec</t>
  </si>
  <si>
    <t>Ask Lusso - Business</t>
  </si>
  <si>
    <t>ARPU</t>
  </si>
  <si>
    <t>Launches Month 5 (May) | Target: 1,500 accounts by Dec</t>
  </si>
  <si>
    <t>Marketplace - Sellers</t>
  </si>
  <si>
    <t>Revenue per Seller</t>
  </si>
  <si>
    <t>Launches Month 8 (Aug) | Target: 1,200 sellers by Dec</t>
  </si>
  <si>
    <t>$125 sub + $160 fees</t>
  </si>
  <si>
    <t>TOTAL MONTHLY REVENUE</t>
  </si>
  <si>
    <t>Tech / AI / Cloud Detail (Monthly)</t>
  </si>
  <si>
    <t>Cloud Hosting (base)</t>
  </si>
  <si>
    <t>GPU / Inference (base)</t>
  </si>
  <si>
    <t>LLM API Usage (base)</t>
  </si>
  <si>
    <t>Databases / Storage (base)</t>
  </si>
  <si>
    <t>Monitoring / Security (base)</t>
  </si>
  <si>
    <t>Subtotal</t>
  </si>
  <si>
    <t>LUSSO.AI - Proforma Inputs (edit yellow cells)</t>
  </si>
  <si>
    <t>Input</t>
  </si>
  <si>
    <t>Value</t>
  </si>
  <si>
    <t xml:space="preserve">Phase Revenue Targets </t>
  </si>
  <si>
    <t>Revenue Mix Assumptions (shares by phase)</t>
  </si>
  <si>
    <t>Starting Cash</t>
  </si>
  <si>
    <t>Month #</t>
  </si>
  <si>
    <t>Total Revenue / MRR</t>
  </si>
  <si>
    <t>Phase</t>
  </si>
  <si>
    <t>Months</t>
  </si>
  <si>
    <t>Consumer %</t>
  </si>
  <si>
    <t>Business %</t>
  </si>
  <si>
    <t>Marketplace %</t>
  </si>
  <si>
    <t>Gross Margin % (for AI/usage COGS)</t>
  </si>
  <si>
    <t>Pre-launch</t>
  </si>
  <si>
    <t>1-4</t>
  </si>
  <si>
    <t>Consumer ARPU (blended) - early</t>
  </si>
  <si>
    <t>Ask Lusso launch</t>
  </si>
  <si>
    <t>5-7</t>
  </si>
  <si>
    <t>Consumer ARPU (blended) - Month 13+</t>
  </si>
  <si>
    <t>Biz ramp</t>
  </si>
  <si>
    <t>8-9</t>
  </si>
  <si>
    <t>Business ARPU</t>
  </si>
  <si>
    <t>Pre-marketplace</t>
  </si>
  <si>
    <t>10-12</t>
  </si>
  <si>
    <t>Marketplace Seller ARPU (sub + fees blended)</t>
  </si>
  <si>
    <t>Marketplace live</t>
  </si>
  <si>
    <t>13-24</t>
  </si>
  <si>
    <t>Marketplace Transaction Fee % (info)</t>
  </si>
  <si>
    <t>Ask Lusso Weekly Price (info)</t>
  </si>
  <si>
    <t>Ask Lusso Monthly Price (info)</t>
  </si>
  <si>
    <t>Ask Lusso Premium Price (info)</t>
  </si>
  <si>
    <t>Revenue Forecast Model (Ask Lusso + Marketplace)</t>
  </si>
  <si>
    <t>Ask Lusso - Consumer ARPU</t>
  </si>
  <si>
    <t>Ask Lusso - Business ARPU</t>
  </si>
  <si>
    <t>Marketplace - Seller ARPU</t>
  </si>
  <si>
    <t>Consumer % (by phase)</t>
  </si>
  <si>
    <t>Business % (by phase)</t>
  </si>
  <si>
    <t>Marketplace % (by phase)</t>
  </si>
  <si>
    <t>Consumer Revenue</t>
  </si>
  <si>
    <t>Business Revenue</t>
  </si>
  <si>
    <t>Marketplace Revenue</t>
  </si>
  <si>
    <t>Implied Paying Consumers</t>
  </si>
  <si>
    <t>Implied Business Accounts</t>
  </si>
  <si>
    <t>Implied Marketplace Sellers</t>
  </si>
  <si>
    <t>Marketing &amp; Growth Detail (Monthly)</t>
  </si>
  <si>
    <t>Paid Ads (Consumer)</t>
  </si>
  <si>
    <t>Paid Ads (Business)</t>
  </si>
  <si>
    <t>Influencers / Creators</t>
  </si>
  <si>
    <t>Launch PR / Content</t>
  </si>
  <si>
    <t>Referral Incentives</t>
  </si>
  <si>
    <t>People Cost Detail (Monthly)</t>
  </si>
  <si>
    <t>CTO (hands-on)</t>
  </si>
  <si>
    <t>Senior Engineer #1</t>
  </si>
  <si>
    <t>Senior Engineer #2</t>
  </si>
  <si>
    <t>AI Engineer</t>
  </si>
  <si>
    <t>Product Manager</t>
  </si>
  <si>
    <t>Growth Lead</t>
  </si>
  <si>
    <t>Designer (contract)</t>
  </si>
  <si>
    <t>Support / Ops #1</t>
  </si>
  <si>
    <t>Support / Ops #2</t>
  </si>
  <si>
    <t>Legal / Ops / Buffer Detail (Monthly)</t>
  </si>
  <si>
    <t>Legal &amp; IP</t>
  </si>
  <si>
    <t>Accounting / Tax</t>
  </si>
  <si>
    <t>Insurance</t>
  </si>
  <si>
    <t>Software / Tools</t>
  </si>
  <si>
    <t>Oh-shit Buffer</t>
  </si>
  <si>
    <t>Cashflow View (Starting Cash + EBITDA Proxy)</t>
  </si>
  <si>
    <t>EBITDA (Proxy for Net Cashflow)</t>
  </si>
  <si>
    <t>Ending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</si>
</sst>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.00"/>
    <numFmt numFmtId="165" formatCode="&quot;$&quot;#,##0"/>
    <numFmt numFmtId="166" formatCode="$#,##0"/>
    <numFmt numFmtId="167" formatCode="$#,##0.00"/>
  </numFmts>
  <fonts count="13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Calibri"/>
      <scheme val="minor"/>
    </font>
    <font>
      <sz val="9.0"/>
      <color theme="1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  <scheme val="minor"/>
    </font>
    <font>
      <b/>
      <sz val="12.0"/>
      <color rgb="FFFFFFFF"/>
      <name val="Calibri"/>
      <scheme val="minor"/>
    </font>
    <font/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164" xfId="0" applyFont="1" applyNumberFormat="1"/>
    <xf borderId="0" fillId="0" fontId="4" numFmtId="9" xfId="0" applyFont="1" applyNumberFormat="1"/>
    <xf borderId="0" fillId="0" fontId="5" numFmtId="0" xfId="0" applyFont="1"/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4" xfId="0" applyAlignment="1" applyFont="1" applyNumberFormat="1">
      <alignment readingOrder="0"/>
    </xf>
    <xf borderId="0" fillId="0" fontId="6" numFmtId="0" xfId="0" applyFont="1"/>
    <xf borderId="0" fillId="0" fontId="7" numFmtId="0" xfId="0" applyFont="1"/>
    <xf borderId="0" fillId="0" fontId="5" numFmtId="165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1" fillId="2" fontId="8" numFmtId="0" xfId="0" applyAlignment="1" applyBorder="1" applyFill="1" applyFont="1">
      <alignment horizontal="left" vertical="center"/>
    </xf>
    <xf borderId="1" fillId="2" fontId="8" numFmtId="0" xfId="0" applyAlignment="1" applyBorder="1" applyFont="1">
      <alignment horizontal="right" vertical="center"/>
    </xf>
    <xf borderId="1" fillId="0" fontId="6" numFmtId="0" xfId="0" applyAlignment="1" applyBorder="1" applyFont="1">
      <alignment horizontal="left" vertical="center"/>
    </xf>
    <xf borderId="1" fillId="0" fontId="4" numFmtId="166" xfId="0" applyAlignment="1" applyBorder="1" applyFont="1" applyNumberFormat="1">
      <alignment horizontal="right" vertical="center"/>
    </xf>
    <xf borderId="1" fillId="0" fontId="4" numFmtId="9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vertical="center"/>
    </xf>
    <xf borderId="1" fillId="3" fontId="6" numFmtId="0" xfId="0" applyAlignment="1" applyBorder="1" applyFill="1" applyFont="1">
      <alignment horizontal="left" vertical="center"/>
    </xf>
    <xf borderId="1" fillId="3" fontId="4" numFmtId="0" xfId="0" applyAlignment="1" applyBorder="1" applyFont="1">
      <alignment horizontal="right" vertical="center"/>
    </xf>
    <xf borderId="2" fillId="4" fontId="10" numFmtId="0" xfId="0" applyAlignment="1" applyBorder="1" applyFill="1" applyFont="1">
      <alignment horizontal="center"/>
    </xf>
    <xf borderId="3" fillId="0" fontId="11" numFmtId="0" xfId="0" applyBorder="1" applyFont="1"/>
    <xf borderId="4" fillId="0" fontId="11" numFmtId="0" xfId="0" applyBorder="1" applyFont="1"/>
    <xf borderId="2" fillId="5" fontId="10" numFmtId="0" xfId="0" applyAlignment="1" applyBorder="1" applyFill="1" applyFont="1">
      <alignment horizontal="center"/>
    </xf>
    <xf borderId="2" fillId="6" fontId="10" numFmtId="0" xfId="0" applyAlignment="1" applyBorder="1" applyFill="1" applyFont="1">
      <alignment horizontal="center"/>
    </xf>
    <xf borderId="2" fillId="7" fontId="10" numFmtId="0" xfId="0" applyAlignment="1" applyBorder="1" applyFill="1" applyFont="1">
      <alignment horizontal="center"/>
    </xf>
    <xf borderId="0" fillId="0" fontId="12" numFmtId="164" xfId="0" applyFont="1" applyNumberFormat="1"/>
    <xf borderId="1" fillId="2" fontId="8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4" numFmtId="167" xfId="0" applyAlignment="1" applyBorder="1" applyFont="1" applyNumberFormat="1">
      <alignment horizontal="right" readingOrder="0" vertical="center"/>
    </xf>
    <xf borderId="1" fillId="0" fontId="4" numFmtId="167" xfId="0" applyAlignment="1" applyBorder="1" applyFont="1" applyNumberFormat="1">
      <alignment horizontal="right" vertical="center"/>
    </xf>
    <xf borderId="1" fillId="3" fontId="4" numFmtId="166" xfId="0" applyAlignment="1" applyBorder="1" applyFont="1" applyNumberFormat="1">
      <alignment horizontal="right" vertical="center"/>
    </xf>
    <xf borderId="1" fillId="8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9" fontId="4" numFmtId="166" xfId="0" applyAlignment="1" applyBorder="1" applyFill="1" applyFont="1" applyNumberFormat="1">
      <alignment horizontal="right" vertical="center"/>
    </xf>
    <xf borderId="1" fillId="9" fontId="4" numFmtId="10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9" fontId="4" numFmtId="9" xfId="0" applyAlignment="1" applyBorder="1" applyFont="1" applyNumberFormat="1">
      <alignment horizontal="center" shrinkToFit="0" vertical="center" wrapText="1"/>
    </xf>
    <xf borderId="1" fillId="9" fontId="4" numFmtId="9" xfId="0" applyAlignment="1" applyBorder="1" applyFont="1" applyNumberFormat="1">
      <alignment horizontal="right" vertical="center"/>
    </xf>
    <xf borderId="1" fillId="9" fontId="4" numFmtId="167" xfId="0" applyAlignment="1" applyBorder="1" applyFont="1" applyNumberFormat="1">
      <alignment horizontal="right" vertical="center"/>
    </xf>
    <xf borderId="1" fillId="9" fontId="4" numFmtId="0" xfId="0" applyAlignment="1" applyBorder="1" applyFont="1">
      <alignment horizontal="right" vertical="center"/>
    </xf>
    <xf borderId="1" fillId="0" fontId="4" numFmtId="3" xfId="0" applyAlignment="1" applyBorder="1" applyFont="1" applyNumberFormat="1">
      <alignment horizontal="right" vertical="center"/>
    </xf>
    <xf borderId="1" fillId="0" fontId="4" numFmtId="166" xfId="0" applyAlignment="1" applyBorder="1" applyFont="1" applyNumberFormat="1">
      <alignment horizontal="right" readingOrder="0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13" width="12.0"/>
    <col customWidth="1" min="14" max="14" width="15.0"/>
    <col customWidth="1" min="15" max="26" width="8.71"/>
  </cols>
  <sheetData>
    <row r="1">
      <c r="A1" s="1" t="s">
        <v>0</v>
      </c>
      <c r="C1" s="2" t="s">
        <v>1</v>
      </c>
      <c r="N1" s="3" t="s">
        <v>2</v>
      </c>
    </row>
    <row r="2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</row>
    <row r="3">
      <c r="A3" s="6" t="s">
        <v>17</v>
      </c>
      <c r="B3" s="7">
        <f>Revenue_Forecast_Model!B16</f>
        <v>0</v>
      </c>
      <c r="C3" s="7">
        <f>Revenue_Forecast_Model!C16</f>
        <v>0</v>
      </c>
      <c r="D3" s="7">
        <f>Revenue_Forecast_Model!D16</f>
        <v>0</v>
      </c>
      <c r="E3" s="7">
        <f>Revenue_Forecast_Model!E16</f>
        <v>0</v>
      </c>
      <c r="F3" s="7">
        <f>Revenue_Forecast_Model!F16</f>
        <v>25000</v>
      </c>
      <c r="G3" s="7">
        <f>Revenue_Forecast_Model!G16</f>
        <v>45000</v>
      </c>
      <c r="H3" s="7">
        <f>Revenue_Forecast_Model!H16</f>
        <v>70000</v>
      </c>
      <c r="I3" s="7">
        <f>Revenue_Forecast_Model!I16</f>
        <v>95000</v>
      </c>
      <c r="J3" s="7">
        <f>Revenue_Forecast_Model!J16</f>
        <v>125000</v>
      </c>
      <c r="K3" s="7">
        <f>Revenue_Forecast_Model!K16</f>
        <v>155000</v>
      </c>
      <c r="L3" s="7">
        <f>Revenue_Forecast_Model!L16</f>
        <v>185000</v>
      </c>
      <c r="M3" s="7">
        <f>Revenue_Forecast_Model!M16</f>
        <v>215000</v>
      </c>
      <c r="N3" s="7">
        <f t="shared" ref="N3:N4" si="1">SUM(B3:M3)</f>
        <v>915000</v>
      </c>
    </row>
    <row r="4">
      <c r="A4" s="6" t="s">
        <v>18</v>
      </c>
      <c r="B4" s="7">
        <f>IFERROR(B3 * (1 - VALUE(Inputs_Assumptions!$B$5)), 0)
</f>
        <v>0</v>
      </c>
      <c r="C4" s="7">
        <f>IFERROR(C3 * (1 - VALUE(Inputs_Assumptions!$B$5)), 0)
</f>
        <v>0</v>
      </c>
      <c r="D4" s="7">
        <f>IFERROR(D3 * (1 - VALUE(Inputs_Assumptions!$B$5)), 0)
</f>
        <v>0</v>
      </c>
      <c r="E4" s="7">
        <f>IFERROR(E3 * (1 - VALUE(Inputs_Assumptions!$B$5)), 0)
</f>
        <v>0</v>
      </c>
      <c r="F4" s="7">
        <f>IFERROR(F3 * (1 - VALUE(Inputs_Assumptions!$B$5)), 0)
</f>
        <v>3750</v>
      </c>
      <c r="G4" s="7">
        <f>IFERROR(G3 * (1 - VALUE(Inputs_Assumptions!$B$5)), 0)
</f>
        <v>6750</v>
      </c>
      <c r="H4" s="7">
        <f>IFERROR(H3 * (1 - VALUE(Inputs_Assumptions!$B$5)), 0)
</f>
        <v>10500</v>
      </c>
      <c r="I4" s="7">
        <f>IFERROR(I3 * (1 - VALUE(Inputs_Assumptions!$B$5)), 0)
</f>
        <v>14250</v>
      </c>
      <c r="J4" s="7">
        <f>IFERROR(J3 * (1 - VALUE(Inputs_Assumptions!$B$5)), 0)
</f>
        <v>18750</v>
      </c>
      <c r="K4" s="7">
        <f>IFERROR(K3 * (1 - VALUE(Inputs_Assumptions!$B$5)), 0)
</f>
        <v>23250</v>
      </c>
      <c r="L4" s="7">
        <f>IFERROR(L3 * (1 - VALUE(Inputs_Assumptions!$B$5)), 0)
</f>
        <v>27750</v>
      </c>
      <c r="M4" s="7">
        <f>IFERROR(M3 * (1 - VALUE(Inputs_Assumptions!$B$5)), 0)
</f>
        <v>32250</v>
      </c>
      <c r="N4" s="7">
        <f t="shared" si="1"/>
        <v>137250</v>
      </c>
    </row>
    <row r="5">
      <c r="A5" s="6" t="s">
        <v>19</v>
      </c>
      <c r="B5" s="7">
        <f t="shared" ref="B5:M5" si="2">B3-B4
</f>
        <v>0</v>
      </c>
      <c r="C5" s="7">
        <f t="shared" si="2"/>
        <v>0</v>
      </c>
      <c r="D5" s="7">
        <f t="shared" si="2"/>
        <v>0</v>
      </c>
      <c r="E5" s="7">
        <f t="shared" si="2"/>
        <v>0</v>
      </c>
      <c r="F5" s="7">
        <f t="shared" si="2"/>
        <v>21250</v>
      </c>
      <c r="G5" s="7">
        <f t="shared" si="2"/>
        <v>38250</v>
      </c>
      <c r="H5" s="7">
        <f t="shared" si="2"/>
        <v>59500</v>
      </c>
      <c r="I5" s="7">
        <f t="shared" si="2"/>
        <v>80750</v>
      </c>
      <c r="J5" s="7">
        <f t="shared" si="2"/>
        <v>106250</v>
      </c>
      <c r="K5" s="7">
        <f t="shared" si="2"/>
        <v>131750</v>
      </c>
      <c r="L5" s="7">
        <f t="shared" si="2"/>
        <v>157250</v>
      </c>
      <c r="M5" s="7">
        <f t="shared" si="2"/>
        <v>182750</v>
      </c>
      <c r="N5" s="7">
        <f>Sum(B5:M5)</f>
        <v>777750</v>
      </c>
    </row>
    <row r="6">
      <c r="A6" s="6" t="s">
        <v>20</v>
      </c>
      <c r="B6" s="8">
        <v>0.0</v>
      </c>
      <c r="C6" s="8">
        <v>0.0</v>
      </c>
      <c r="D6" s="8">
        <v>0.0</v>
      </c>
      <c r="E6" s="8">
        <v>0.0</v>
      </c>
      <c r="F6" s="8">
        <v>0.9</v>
      </c>
      <c r="G6" s="8">
        <v>0.9</v>
      </c>
      <c r="H6" s="8">
        <v>0.9</v>
      </c>
      <c r="I6" s="8">
        <v>0.9</v>
      </c>
      <c r="J6" s="8">
        <v>0.9</v>
      </c>
      <c r="K6" s="8">
        <v>0.9</v>
      </c>
      <c r="L6" s="8">
        <v>0.9</v>
      </c>
      <c r="M6" s="8">
        <v>0.9</v>
      </c>
      <c r="N6" s="8">
        <v>0.9</v>
      </c>
    </row>
    <row r="7">
      <c r="A7" s="6" t="s">
        <v>21</v>
      </c>
    </row>
    <row r="8">
      <c r="A8" s="9" t="s">
        <v>22</v>
      </c>
      <c r="B8" s="10">
        <v>108000.0</v>
      </c>
      <c r="C8" s="10">
        <v>108000.0</v>
      </c>
      <c r="D8" s="10">
        <v>108000.0</v>
      </c>
      <c r="E8" s="10">
        <v>108000.0</v>
      </c>
      <c r="F8" s="10">
        <v>108000.0</v>
      </c>
      <c r="G8" s="10">
        <v>108000.0</v>
      </c>
      <c r="H8" s="10">
        <v>108000.0</v>
      </c>
      <c r="I8" s="10">
        <v>108000.0</v>
      </c>
      <c r="J8" s="10">
        <v>108000.0</v>
      </c>
      <c r="K8" s="10">
        <v>108000.0</v>
      </c>
      <c r="L8" s="10">
        <v>108000.0</v>
      </c>
      <c r="M8" s="10">
        <v>108000.0</v>
      </c>
      <c r="N8" s="11">
        <f t="shared" ref="N8:N9" si="3">SUM(B8:M8)</f>
        <v>1296000</v>
      </c>
    </row>
    <row r="9">
      <c r="A9" s="9" t="s">
        <v>23</v>
      </c>
      <c r="B9" s="10">
        <v>3000.0</v>
      </c>
      <c r="C9" s="10">
        <v>3000.0</v>
      </c>
      <c r="D9" s="10">
        <v>3000.0</v>
      </c>
      <c r="E9" s="10">
        <v>3000.0</v>
      </c>
      <c r="F9" s="10">
        <v>3000.0</v>
      </c>
      <c r="G9" s="10">
        <v>3000.0</v>
      </c>
      <c r="H9" s="10">
        <v>3000.0</v>
      </c>
      <c r="I9" s="10">
        <v>3000.0</v>
      </c>
      <c r="J9" s="10">
        <v>3000.0</v>
      </c>
      <c r="K9" s="10">
        <v>3000.0</v>
      </c>
      <c r="L9" s="10">
        <v>3000.0</v>
      </c>
      <c r="M9" s="10">
        <v>3000.0</v>
      </c>
      <c r="N9" s="11">
        <f t="shared" si="3"/>
        <v>36000</v>
      </c>
    </row>
    <row r="10">
      <c r="A10" s="9" t="s">
        <v>24</v>
      </c>
      <c r="B10" s="11">
        <v>5916.0</v>
      </c>
      <c r="C10" s="11">
        <v>5916.0</v>
      </c>
      <c r="D10" s="11">
        <v>5916.0</v>
      </c>
      <c r="E10" s="11">
        <v>5916.0</v>
      </c>
      <c r="F10" s="11">
        <v>5916.0</v>
      </c>
      <c r="G10" s="11">
        <v>5916.0</v>
      </c>
      <c r="H10" s="11">
        <v>5916.0</v>
      </c>
      <c r="I10" s="11">
        <v>5916.0</v>
      </c>
      <c r="J10" s="11">
        <v>5916.0</v>
      </c>
      <c r="K10" s="11">
        <v>5916.0</v>
      </c>
      <c r="L10" s="11">
        <v>5916.0</v>
      </c>
      <c r="M10" s="11">
        <v>5916.0</v>
      </c>
      <c r="N10" s="11">
        <v>70992.0</v>
      </c>
    </row>
    <row r="11">
      <c r="A11" s="9" t="s">
        <v>25</v>
      </c>
      <c r="B11" s="11">
        <v>1120.0</v>
      </c>
      <c r="C11" s="11">
        <v>1120.0</v>
      </c>
      <c r="D11" s="11">
        <v>1120.0</v>
      </c>
      <c r="E11" s="11">
        <v>1120.0</v>
      </c>
      <c r="F11" s="11">
        <v>1120.0</v>
      </c>
      <c r="G11" s="11">
        <v>1120.0</v>
      </c>
      <c r="H11" s="11">
        <v>1120.0</v>
      </c>
      <c r="I11" s="11">
        <v>1120.0</v>
      </c>
      <c r="J11" s="11">
        <v>1120.0</v>
      </c>
      <c r="K11" s="11">
        <v>1120.0</v>
      </c>
      <c r="L11" s="11">
        <v>1120.0</v>
      </c>
      <c r="M11" s="11">
        <v>1120.0</v>
      </c>
      <c r="N11" s="11">
        <f t="shared" ref="N11:N16" si="4">SUM(B11:M11)</f>
        <v>13440</v>
      </c>
    </row>
    <row r="12">
      <c r="A12" s="9" t="s">
        <v>26</v>
      </c>
      <c r="B12" s="10">
        <v>3500.0</v>
      </c>
      <c r="C12" s="10">
        <v>3500.0</v>
      </c>
      <c r="D12" s="10">
        <v>3500.0</v>
      </c>
      <c r="E12" s="10">
        <v>3500.0</v>
      </c>
      <c r="F12" s="10">
        <v>3500.0</v>
      </c>
      <c r="G12" s="10">
        <v>3500.0</v>
      </c>
      <c r="H12" s="10">
        <v>3500.0</v>
      </c>
      <c r="I12" s="10">
        <v>3500.0</v>
      </c>
      <c r="J12" s="10">
        <v>3500.0</v>
      </c>
      <c r="K12" s="10">
        <v>3500.0</v>
      </c>
      <c r="L12" s="10">
        <v>3500.0</v>
      </c>
      <c r="M12" s="10">
        <v>3500.0</v>
      </c>
      <c r="N12" s="11">
        <f t="shared" si="4"/>
        <v>42000</v>
      </c>
    </row>
    <row r="13">
      <c r="A13" s="9" t="s">
        <v>27</v>
      </c>
      <c r="B13" s="10">
        <v>1500.0</v>
      </c>
      <c r="C13" s="10">
        <v>1500.0</v>
      </c>
      <c r="D13" s="10">
        <v>1500.0</v>
      </c>
      <c r="E13" s="10">
        <v>1500.0</v>
      </c>
      <c r="F13" s="10">
        <v>1500.0</v>
      </c>
      <c r="G13" s="10">
        <v>1500.0</v>
      </c>
      <c r="H13" s="10">
        <v>1500.0</v>
      </c>
      <c r="I13" s="10">
        <v>1500.0</v>
      </c>
      <c r="J13" s="10">
        <v>1500.0</v>
      </c>
      <c r="K13" s="10">
        <v>1500.0</v>
      </c>
      <c r="L13" s="10">
        <v>1500.0</v>
      </c>
      <c r="M13" s="10">
        <v>1500.0</v>
      </c>
      <c r="N13" s="11">
        <f t="shared" si="4"/>
        <v>18000</v>
      </c>
    </row>
    <row r="14">
      <c r="A14" s="9" t="s">
        <v>28</v>
      </c>
      <c r="B14" s="10">
        <v>20000.0</v>
      </c>
      <c r="C14" s="10">
        <v>20000.0</v>
      </c>
      <c r="D14" s="10">
        <v>20000.0</v>
      </c>
      <c r="E14" s="10">
        <v>20000.0</v>
      </c>
      <c r="F14" s="10">
        <v>25000.0</v>
      </c>
      <c r="G14" s="10">
        <v>25000.0</v>
      </c>
      <c r="H14" s="10">
        <v>25000.0</v>
      </c>
      <c r="I14" s="10">
        <v>25000.0</v>
      </c>
      <c r="J14" s="10">
        <v>25000.0</v>
      </c>
      <c r="K14" s="10">
        <v>25000.0</v>
      </c>
      <c r="L14" s="10">
        <v>25000.0</v>
      </c>
      <c r="M14" s="10">
        <v>25000.0</v>
      </c>
      <c r="N14" s="11">
        <f t="shared" si="4"/>
        <v>280000</v>
      </c>
    </row>
    <row r="15">
      <c r="A15" s="9" t="s">
        <v>29</v>
      </c>
      <c r="B15" s="10">
        <v>6251.0</v>
      </c>
      <c r="C15" s="10">
        <v>6251.0</v>
      </c>
      <c r="D15" s="10">
        <v>6251.0</v>
      </c>
      <c r="E15" s="10">
        <v>6251.0</v>
      </c>
      <c r="F15" s="10">
        <v>43750.0</v>
      </c>
      <c r="G15" s="10">
        <v>43750.0</v>
      </c>
      <c r="H15" s="10">
        <v>43750.0</v>
      </c>
      <c r="I15" s="10">
        <v>43750.0</v>
      </c>
      <c r="J15" s="10">
        <v>75000.0</v>
      </c>
      <c r="K15" s="10">
        <v>75000.0</v>
      </c>
      <c r="L15" s="10">
        <v>75000.0</v>
      </c>
      <c r="M15" s="10">
        <v>75000.0</v>
      </c>
      <c r="N15" s="12">
        <f t="shared" si="4"/>
        <v>500004</v>
      </c>
    </row>
    <row r="16">
      <c r="A16" s="6" t="s">
        <v>30</v>
      </c>
      <c r="B16" s="11">
        <f t="shared" ref="B16:M16" si="5">SUM(B8:B15)</f>
        <v>149287</v>
      </c>
      <c r="C16" s="11">
        <f t="shared" si="5"/>
        <v>149287</v>
      </c>
      <c r="D16" s="11">
        <f t="shared" si="5"/>
        <v>149287</v>
      </c>
      <c r="E16" s="11">
        <f t="shared" si="5"/>
        <v>149287</v>
      </c>
      <c r="F16" s="11">
        <f t="shared" si="5"/>
        <v>191786</v>
      </c>
      <c r="G16" s="11">
        <f t="shared" si="5"/>
        <v>191786</v>
      </c>
      <c r="H16" s="11">
        <f t="shared" si="5"/>
        <v>191786</v>
      </c>
      <c r="I16" s="11">
        <f t="shared" si="5"/>
        <v>191786</v>
      </c>
      <c r="J16" s="11">
        <f t="shared" si="5"/>
        <v>223036</v>
      </c>
      <c r="K16" s="11">
        <f t="shared" si="5"/>
        <v>223036</v>
      </c>
      <c r="L16" s="11">
        <f t="shared" si="5"/>
        <v>223036</v>
      </c>
      <c r="M16" s="11">
        <f t="shared" si="5"/>
        <v>223036</v>
      </c>
      <c r="N16" s="11">
        <f t="shared" si="4"/>
        <v>2256436</v>
      </c>
    </row>
    <row r="17">
      <c r="A17" s="6" t="s">
        <v>31</v>
      </c>
      <c r="B17" s="8">
        <f t="shared" ref="B17:N17" si="6">IFERROR(B16/B3,0)</f>
        <v>0</v>
      </c>
      <c r="C17" s="8">
        <f t="shared" si="6"/>
        <v>0</v>
      </c>
      <c r="D17" s="8">
        <f t="shared" si="6"/>
        <v>0</v>
      </c>
      <c r="E17" s="8">
        <f t="shared" si="6"/>
        <v>0</v>
      </c>
      <c r="F17" s="8">
        <f t="shared" si="6"/>
        <v>7.67144</v>
      </c>
      <c r="G17" s="8">
        <f t="shared" si="6"/>
        <v>4.261911111</v>
      </c>
      <c r="H17" s="8">
        <f t="shared" si="6"/>
        <v>2.7398</v>
      </c>
      <c r="I17" s="8">
        <f t="shared" si="6"/>
        <v>2.0188</v>
      </c>
      <c r="J17" s="8">
        <f t="shared" si="6"/>
        <v>1.784288</v>
      </c>
      <c r="K17" s="8">
        <f t="shared" si="6"/>
        <v>1.438941935</v>
      </c>
      <c r="L17" s="8">
        <f t="shared" si="6"/>
        <v>1.2056</v>
      </c>
      <c r="M17" s="8">
        <f t="shared" si="6"/>
        <v>1.037376744</v>
      </c>
      <c r="N17" s="8">
        <f t="shared" si="6"/>
        <v>2.466050273</v>
      </c>
    </row>
    <row r="18">
      <c r="A18" s="6" t="s">
        <v>32</v>
      </c>
      <c r="B18" s="7">
        <f t="shared" ref="B18:M18" si="7">B5-B16
</f>
        <v>-149287</v>
      </c>
      <c r="C18" s="7">
        <f t="shared" si="7"/>
        <v>-149287</v>
      </c>
      <c r="D18" s="7">
        <f t="shared" si="7"/>
        <v>-149287</v>
      </c>
      <c r="E18" s="7">
        <f t="shared" si="7"/>
        <v>-149287</v>
      </c>
      <c r="F18" s="7">
        <f t="shared" si="7"/>
        <v>-170536</v>
      </c>
      <c r="G18" s="7">
        <f t="shared" si="7"/>
        <v>-153536</v>
      </c>
      <c r="H18" s="7">
        <f t="shared" si="7"/>
        <v>-132286</v>
      </c>
      <c r="I18" s="7">
        <f t="shared" si="7"/>
        <v>-111036</v>
      </c>
      <c r="J18" s="7">
        <f t="shared" si="7"/>
        <v>-116786</v>
      </c>
      <c r="K18" s="7">
        <f t="shared" si="7"/>
        <v>-91286</v>
      </c>
      <c r="L18" s="7">
        <f t="shared" si="7"/>
        <v>-65786</v>
      </c>
      <c r="M18" s="7">
        <f t="shared" si="7"/>
        <v>-40286</v>
      </c>
      <c r="N18" s="7">
        <f>SUM(B18:M18)</f>
        <v>-1478686</v>
      </c>
    </row>
    <row r="19">
      <c r="A19" s="6" t="s">
        <v>33</v>
      </c>
      <c r="B19" s="8">
        <f t="shared" ref="B19:N19" si="8">IFERROR(B18/B3,0)</f>
        <v>0</v>
      </c>
      <c r="C19" s="8">
        <f t="shared" si="8"/>
        <v>0</v>
      </c>
      <c r="D19" s="8">
        <f t="shared" si="8"/>
        <v>0</v>
      </c>
      <c r="E19" s="8">
        <f t="shared" si="8"/>
        <v>0</v>
      </c>
      <c r="F19" s="8">
        <f t="shared" si="8"/>
        <v>-6.82144</v>
      </c>
      <c r="G19" s="8">
        <f t="shared" si="8"/>
        <v>-3.411911111</v>
      </c>
      <c r="H19" s="8">
        <f t="shared" si="8"/>
        <v>-1.8898</v>
      </c>
      <c r="I19" s="8">
        <f t="shared" si="8"/>
        <v>-1.1688</v>
      </c>
      <c r="J19" s="8">
        <f t="shared" si="8"/>
        <v>-0.934288</v>
      </c>
      <c r="K19" s="8">
        <f t="shared" si="8"/>
        <v>-0.5889419355</v>
      </c>
      <c r="L19" s="8">
        <f t="shared" si="8"/>
        <v>-0.3556</v>
      </c>
      <c r="M19" s="8">
        <f t="shared" si="8"/>
        <v>-0.1873767442</v>
      </c>
      <c r="N19" s="8">
        <f t="shared" si="8"/>
        <v>-1.616050273</v>
      </c>
    </row>
    <row r="21" ht="15.75" customHeight="1">
      <c r="A21" s="13" t="s">
        <v>34</v>
      </c>
    </row>
    <row r="22" ht="15.75" customHeight="1">
      <c r="A22" s="14" t="s">
        <v>35</v>
      </c>
    </row>
    <row r="23" ht="15.75" customHeight="1">
      <c r="C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M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5" width="11.0"/>
    <col customWidth="1" min="26" max="26" width="14.0"/>
  </cols>
  <sheetData>
    <row r="1">
      <c r="A1" s="16" t="s">
        <v>36</v>
      </c>
    </row>
    <row r="3">
      <c r="A3" s="17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 t="s">
        <v>11</v>
      </c>
      <c r="J3" s="18" t="s">
        <v>12</v>
      </c>
      <c r="K3" s="18" t="s">
        <v>13</v>
      </c>
      <c r="L3" s="18" t="s">
        <v>14</v>
      </c>
      <c r="M3" s="18" t="s">
        <v>15</v>
      </c>
      <c r="N3" s="18" t="s">
        <v>37</v>
      </c>
      <c r="O3" s="18" t="s">
        <v>38</v>
      </c>
      <c r="P3" s="18" t="s">
        <v>39</v>
      </c>
      <c r="Q3" s="18" t="s">
        <v>40</v>
      </c>
      <c r="R3" s="18" t="s">
        <v>41</v>
      </c>
      <c r="S3" s="18" t="s">
        <v>42</v>
      </c>
      <c r="T3" s="18" t="s">
        <v>43</v>
      </c>
      <c r="U3" s="18" t="s">
        <v>44</v>
      </c>
      <c r="V3" s="18" t="s">
        <v>45</v>
      </c>
      <c r="W3" s="18" t="s">
        <v>46</v>
      </c>
      <c r="X3" s="18" t="s">
        <v>47</v>
      </c>
      <c r="Y3" s="18" t="s">
        <v>48</v>
      </c>
      <c r="Z3" s="18" t="s">
        <v>16</v>
      </c>
    </row>
    <row r="4">
      <c r="A4" s="19" t="s">
        <v>17</v>
      </c>
      <c r="B4" s="20">
        <f>Inputs_Assumptions!$E$5</f>
        <v>0</v>
      </c>
      <c r="C4" s="20">
        <f>Inputs_Assumptions!$E$6</f>
        <v>0</v>
      </c>
      <c r="D4" s="20">
        <f>Inputs_Assumptions!$E$7</f>
        <v>0</v>
      </c>
      <c r="E4" s="20">
        <f>Inputs_Assumptions!$E$8</f>
        <v>0</v>
      </c>
      <c r="F4" s="20">
        <f>Inputs_Assumptions!$E$9</f>
        <v>25000</v>
      </c>
      <c r="G4" s="20">
        <f>Inputs_Assumptions!$E$10</f>
        <v>45000</v>
      </c>
      <c r="H4" s="20">
        <f>Inputs_Assumptions!$E$11</f>
        <v>70000</v>
      </c>
      <c r="I4" s="20">
        <f>Inputs_Assumptions!$E$12</f>
        <v>95000</v>
      </c>
      <c r="J4" s="20">
        <f>Inputs_Assumptions!$E$13</f>
        <v>125000</v>
      </c>
      <c r="K4" s="20">
        <f>Inputs_Assumptions!$E$14</f>
        <v>155000</v>
      </c>
      <c r="L4" s="20">
        <f>Inputs_Assumptions!$E$15</f>
        <v>185000</v>
      </c>
      <c r="M4" s="20">
        <f>Inputs_Assumptions!$E$16</f>
        <v>215000</v>
      </c>
      <c r="N4" s="20">
        <f>Inputs_Assumptions!$E$17</f>
        <v>280000</v>
      </c>
      <c r="O4" s="20">
        <f>Inputs_Assumptions!$E$18</f>
        <v>310000</v>
      </c>
      <c r="P4" s="20">
        <f>Inputs_Assumptions!$E$19</f>
        <v>345000</v>
      </c>
      <c r="Q4" s="20">
        <f>Inputs_Assumptions!$E$20</f>
        <v>385000</v>
      </c>
      <c r="R4" s="20">
        <f>Inputs_Assumptions!$E$21</f>
        <v>430000</v>
      </c>
      <c r="S4" s="20">
        <f>Inputs_Assumptions!$E$22</f>
        <v>480000</v>
      </c>
      <c r="T4" s="20">
        <f>Inputs_Assumptions!$E$23</f>
        <v>530000</v>
      </c>
      <c r="U4" s="20">
        <f>Inputs_Assumptions!$E$24</f>
        <v>590000</v>
      </c>
      <c r="V4" s="20">
        <f>Inputs_Assumptions!$E$25</f>
        <v>660000</v>
      </c>
      <c r="W4" s="20">
        <f>Inputs_Assumptions!$E$26</f>
        <v>740000</v>
      </c>
      <c r="X4" s="20">
        <f>Inputs_Assumptions!$E$27</f>
        <v>830000</v>
      </c>
      <c r="Y4" s="20">
        <f>Inputs_Assumptions!$E$28</f>
        <v>930000</v>
      </c>
      <c r="Z4" s="20">
        <f t="shared" ref="Z4:Z6" si="1">SUM(B4:Y4)</f>
        <v>7425000</v>
      </c>
    </row>
    <row r="5">
      <c r="A5" s="19" t="s">
        <v>49</v>
      </c>
      <c r="B5" s="20">
        <f>B4*(1-Inputs_Assumptions!$B$5)</f>
        <v>0</v>
      </c>
      <c r="C5" s="20">
        <f>C4*(1-Inputs_Assumptions!$B$5)</f>
        <v>0</v>
      </c>
      <c r="D5" s="20">
        <f>D4*(1-Inputs_Assumptions!$B$5)</f>
        <v>0</v>
      </c>
      <c r="E5" s="20">
        <f>E4*(1-Inputs_Assumptions!$B$5)</f>
        <v>0</v>
      </c>
      <c r="F5" s="20">
        <f>F4*(1-Inputs_Assumptions!$B$5)</f>
        <v>3750</v>
      </c>
      <c r="G5" s="20">
        <f>G4*(1-Inputs_Assumptions!$B$5)</f>
        <v>6750</v>
      </c>
      <c r="H5" s="20">
        <f>H4*(1-Inputs_Assumptions!$B$5)</f>
        <v>10500</v>
      </c>
      <c r="I5" s="20">
        <f>I4*(1-Inputs_Assumptions!$B$5)</f>
        <v>14250</v>
      </c>
      <c r="J5" s="20">
        <f>J4*(1-Inputs_Assumptions!$B$5)</f>
        <v>18750</v>
      </c>
      <c r="K5" s="20">
        <f>K4*(1-Inputs_Assumptions!$B$5)</f>
        <v>23250</v>
      </c>
      <c r="L5" s="20">
        <f>L4*(1-Inputs_Assumptions!$B$5)</f>
        <v>27750</v>
      </c>
      <c r="M5" s="20">
        <f>M4*(1-Inputs_Assumptions!$B$5)</f>
        <v>32250</v>
      </c>
      <c r="N5" s="20">
        <f>N4*(1-Inputs_Assumptions!$B$5)</f>
        <v>42000</v>
      </c>
      <c r="O5" s="20">
        <f>O4*(1-Inputs_Assumptions!$B$5)</f>
        <v>46500</v>
      </c>
      <c r="P5" s="20">
        <f>P4*(1-Inputs_Assumptions!$B$5)</f>
        <v>51750</v>
      </c>
      <c r="Q5" s="20">
        <f>Q4*(1-Inputs_Assumptions!$B$5)</f>
        <v>57750</v>
      </c>
      <c r="R5" s="20">
        <f>R4*(1-Inputs_Assumptions!$B$5)</f>
        <v>64500</v>
      </c>
      <c r="S5" s="20">
        <f>S4*(1-Inputs_Assumptions!$B$5)</f>
        <v>72000</v>
      </c>
      <c r="T5" s="20">
        <f>T4*(1-Inputs_Assumptions!$B$5)</f>
        <v>79500</v>
      </c>
      <c r="U5" s="20">
        <f>U4*(1-Inputs_Assumptions!$B$5)</f>
        <v>88500</v>
      </c>
      <c r="V5" s="20">
        <f>V4*(1-Inputs_Assumptions!$B$5)</f>
        <v>99000</v>
      </c>
      <c r="W5" s="20">
        <f>W4*(1-Inputs_Assumptions!$B$5)</f>
        <v>111000</v>
      </c>
      <c r="X5" s="20">
        <f>X4*(1-Inputs_Assumptions!$B$5)</f>
        <v>124500</v>
      </c>
      <c r="Y5" s="20">
        <f>Y4*(1-Inputs_Assumptions!$B$5)</f>
        <v>139500</v>
      </c>
      <c r="Z5" s="20">
        <f t="shared" si="1"/>
        <v>1113750</v>
      </c>
    </row>
    <row r="6">
      <c r="A6" s="19" t="s">
        <v>19</v>
      </c>
      <c r="B6" s="20">
        <f t="shared" ref="B6:Y6" si="2">B4-B5</f>
        <v>0</v>
      </c>
      <c r="C6" s="20">
        <f t="shared" si="2"/>
        <v>0</v>
      </c>
      <c r="D6" s="20">
        <f t="shared" si="2"/>
        <v>0</v>
      </c>
      <c r="E6" s="20">
        <f t="shared" si="2"/>
        <v>0</v>
      </c>
      <c r="F6" s="20">
        <f t="shared" si="2"/>
        <v>21250</v>
      </c>
      <c r="G6" s="20">
        <f t="shared" si="2"/>
        <v>38250</v>
      </c>
      <c r="H6" s="20">
        <f t="shared" si="2"/>
        <v>59500</v>
      </c>
      <c r="I6" s="20">
        <f t="shared" si="2"/>
        <v>80750</v>
      </c>
      <c r="J6" s="20">
        <f t="shared" si="2"/>
        <v>106250</v>
      </c>
      <c r="K6" s="20">
        <f t="shared" si="2"/>
        <v>131750</v>
      </c>
      <c r="L6" s="20">
        <f t="shared" si="2"/>
        <v>157250</v>
      </c>
      <c r="M6" s="20">
        <f t="shared" si="2"/>
        <v>182750</v>
      </c>
      <c r="N6" s="20">
        <f t="shared" si="2"/>
        <v>238000</v>
      </c>
      <c r="O6" s="20">
        <f t="shared" si="2"/>
        <v>263500</v>
      </c>
      <c r="P6" s="20">
        <f t="shared" si="2"/>
        <v>293250</v>
      </c>
      <c r="Q6" s="20">
        <f t="shared" si="2"/>
        <v>327250</v>
      </c>
      <c r="R6" s="20">
        <f t="shared" si="2"/>
        <v>365500</v>
      </c>
      <c r="S6" s="20">
        <f t="shared" si="2"/>
        <v>408000</v>
      </c>
      <c r="T6" s="20">
        <f t="shared" si="2"/>
        <v>450500</v>
      </c>
      <c r="U6" s="20">
        <f t="shared" si="2"/>
        <v>501500</v>
      </c>
      <c r="V6" s="20">
        <f t="shared" si="2"/>
        <v>561000</v>
      </c>
      <c r="W6" s="20">
        <f t="shared" si="2"/>
        <v>629000</v>
      </c>
      <c r="X6" s="20">
        <f t="shared" si="2"/>
        <v>705500</v>
      </c>
      <c r="Y6" s="20">
        <f t="shared" si="2"/>
        <v>790500</v>
      </c>
      <c r="Z6" s="20">
        <f t="shared" si="1"/>
        <v>6311250</v>
      </c>
    </row>
    <row r="7">
      <c r="A7" s="19" t="s">
        <v>20</v>
      </c>
      <c r="B7" s="21">
        <f t="shared" ref="B7:Z7" si="3">IFERROR(B6/B4,0)</f>
        <v>0</v>
      </c>
      <c r="C7" s="21">
        <f t="shared" si="3"/>
        <v>0</v>
      </c>
      <c r="D7" s="21">
        <f t="shared" si="3"/>
        <v>0</v>
      </c>
      <c r="E7" s="21">
        <f t="shared" si="3"/>
        <v>0</v>
      </c>
      <c r="F7" s="21">
        <f t="shared" si="3"/>
        <v>0.85</v>
      </c>
      <c r="G7" s="21">
        <f t="shared" si="3"/>
        <v>0.85</v>
      </c>
      <c r="H7" s="21">
        <f t="shared" si="3"/>
        <v>0.85</v>
      </c>
      <c r="I7" s="21">
        <f t="shared" si="3"/>
        <v>0.85</v>
      </c>
      <c r="J7" s="21">
        <f t="shared" si="3"/>
        <v>0.85</v>
      </c>
      <c r="K7" s="21">
        <f t="shared" si="3"/>
        <v>0.85</v>
      </c>
      <c r="L7" s="21">
        <f t="shared" si="3"/>
        <v>0.85</v>
      </c>
      <c r="M7" s="21">
        <f t="shared" si="3"/>
        <v>0.85</v>
      </c>
      <c r="N7" s="21">
        <f t="shared" si="3"/>
        <v>0.85</v>
      </c>
      <c r="O7" s="21">
        <f t="shared" si="3"/>
        <v>0.85</v>
      </c>
      <c r="P7" s="21">
        <f t="shared" si="3"/>
        <v>0.85</v>
      </c>
      <c r="Q7" s="21">
        <f t="shared" si="3"/>
        <v>0.85</v>
      </c>
      <c r="R7" s="21">
        <f t="shared" si="3"/>
        <v>0.85</v>
      </c>
      <c r="S7" s="21">
        <f t="shared" si="3"/>
        <v>0.85</v>
      </c>
      <c r="T7" s="21">
        <f t="shared" si="3"/>
        <v>0.85</v>
      </c>
      <c r="U7" s="21">
        <f t="shared" si="3"/>
        <v>0.85</v>
      </c>
      <c r="V7" s="21">
        <f t="shared" si="3"/>
        <v>0.85</v>
      </c>
      <c r="W7" s="21">
        <f t="shared" si="3"/>
        <v>0.85</v>
      </c>
      <c r="X7" s="21">
        <f t="shared" si="3"/>
        <v>0.85</v>
      </c>
      <c r="Y7" s="21">
        <f t="shared" si="3"/>
        <v>0.85</v>
      </c>
      <c r="Z7" s="21">
        <f t="shared" si="3"/>
        <v>0.85</v>
      </c>
    </row>
    <row r="8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 t="s">
        <v>21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2" t="s">
        <v>50</v>
      </c>
      <c r="B10" s="20">
        <v>108000.0</v>
      </c>
      <c r="C10" s="20">
        <v>108000.0</v>
      </c>
      <c r="D10" s="20">
        <v>108000.0</v>
      </c>
      <c r="E10" s="20">
        <v>108000.0</v>
      </c>
      <c r="F10" s="20">
        <v>108000.0</v>
      </c>
      <c r="G10" s="20">
        <v>108000.0</v>
      </c>
      <c r="H10" s="20">
        <v>108000.0</v>
      </c>
      <c r="I10" s="20">
        <v>108000.0</v>
      </c>
      <c r="J10" s="20">
        <v>108000.0</v>
      </c>
      <c r="K10" s="20">
        <v>108000.0</v>
      </c>
      <c r="L10" s="20">
        <v>108000.0</v>
      </c>
      <c r="M10" s="20">
        <v>108000.0</v>
      </c>
      <c r="N10" s="20">
        <v>108000.0</v>
      </c>
      <c r="O10" s="20">
        <v>108000.0</v>
      </c>
      <c r="P10" s="20">
        <v>108000.0</v>
      </c>
      <c r="Q10" s="20">
        <v>115000.0</v>
      </c>
      <c r="R10" s="20">
        <v>115000.0</v>
      </c>
      <c r="S10" s="20">
        <v>115000.0</v>
      </c>
      <c r="T10" s="20">
        <v>125000.0</v>
      </c>
      <c r="U10" s="20">
        <v>125000.0</v>
      </c>
      <c r="V10" s="20">
        <v>125000.0</v>
      </c>
      <c r="W10" s="20">
        <v>125000.0</v>
      </c>
      <c r="X10" s="20">
        <v>125000.0</v>
      </c>
      <c r="Y10" s="20">
        <v>125000.0</v>
      </c>
      <c r="Z10" s="20">
        <f t="shared" ref="Z10:Z14" si="4">SUM(B10:Y10)</f>
        <v>2715000</v>
      </c>
    </row>
    <row r="11">
      <c r="A11" s="22" t="s">
        <v>51</v>
      </c>
      <c r="B11" s="20">
        <v>45000.0</v>
      </c>
      <c r="C11" s="20">
        <v>45000.0</v>
      </c>
      <c r="D11" s="20">
        <v>45000.0</v>
      </c>
      <c r="E11" s="20">
        <v>45000.0</v>
      </c>
      <c r="F11" s="20">
        <v>45000.0</v>
      </c>
      <c r="G11" s="20">
        <v>45000.0</v>
      </c>
      <c r="H11" s="20">
        <v>45000.0</v>
      </c>
      <c r="I11" s="20">
        <v>45000.0</v>
      </c>
      <c r="J11" s="20">
        <v>45000.0</v>
      </c>
      <c r="K11" s="20">
        <v>45000.0</v>
      </c>
      <c r="L11" s="20">
        <v>45000.0</v>
      </c>
      <c r="M11" s="20">
        <v>45000.0</v>
      </c>
      <c r="N11" s="20">
        <v>50000.0</v>
      </c>
      <c r="O11" s="20">
        <v>50000.0</v>
      </c>
      <c r="P11" s="20">
        <v>50000.0</v>
      </c>
      <c r="Q11" s="20">
        <v>50000.0</v>
      </c>
      <c r="R11" s="20">
        <v>50000.0</v>
      </c>
      <c r="S11" s="20">
        <v>50000.0</v>
      </c>
      <c r="T11" s="20">
        <v>50000.0</v>
      </c>
      <c r="U11" s="20">
        <v>50000.0</v>
      </c>
      <c r="V11" s="20">
        <v>50000.0</v>
      </c>
      <c r="W11" s="20">
        <v>50000.0</v>
      </c>
      <c r="X11" s="20">
        <v>50000.0</v>
      </c>
      <c r="Y11" s="20">
        <v>50000.0</v>
      </c>
      <c r="Z11" s="20">
        <f t="shared" si="4"/>
        <v>1140000</v>
      </c>
    </row>
    <row r="12">
      <c r="A12" s="22" t="s">
        <v>52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0.0</v>
      </c>
      <c r="M12" s="20">
        <v>0.0</v>
      </c>
      <c r="N12" s="20">
        <v>27000.0</v>
      </c>
      <c r="O12" s="20">
        <v>32909.09090909091</v>
      </c>
      <c r="P12" s="20">
        <v>38818.18181818182</v>
      </c>
      <c r="Q12" s="20">
        <v>37727.27272727274</v>
      </c>
      <c r="R12" s="20">
        <v>43636.36363636365</v>
      </c>
      <c r="S12" s="20">
        <v>49545.45454545453</v>
      </c>
      <c r="T12" s="20">
        <v>45454.54545454544</v>
      </c>
      <c r="U12" s="20">
        <v>51363.63636363635</v>
      </c>
      <c r="V12" s="20">
        <v>57272.72727272726</v>
      </c>
      <c r="W12" s="20">
        <v>63181.81818181818</v>
      </c>
      <c r="X12" s="20">
        <v>69090.90909090909</v>
      </c>
      <c r="Y12" s="20">
        <v>75000.0</v>
      </c>
      <c r="Z12" s="20">
        <f t="shared" si="4"/>
        <v>591000</v>
      </c>
    </row>
    <row r="13">
      <c r="A13" s="22" t="s">
        <v>53</v>
      </c>
      <c r="B13" s="20">
        <v>7000.0</v>
      </c>
      <c r="C13" s="20">
        <v>7000.0</v>
      </c>
      <c r="D13" s="20">
        <v>7000.0</v>
      </c>
      <c r="E13" s="20">
        <v>7000.0</v>
      </c>
      <c r="F13" s="20">
        <v>7000.0</v>
      </c>
      <c r="G13" s="20">
        <v>7000.0</v>
      </c>
      <c r="H13" s="20">
        <v>7000.0</v>
      </c>
      <c r="I13" s="20">
        <v>7000.0</v>
      </c>
      <c r="J13" s="20">
        <v>7000.0</v>
      </c>
      <c r="K13" s="20">
        <v>7000.0</v>
      </c>
      <c r="L13" s="20">
        <v>7000.0</v>
      </c>
      <c r="M13" s="20">
        <v>7000.0</v>
      </c>
      <c r="N13" s="20">
        <v>10000.0</v>
      </c>
      <c r="O13" s="20">
        <v>10000.0</v>
      </c>
      <c r="P13" s="20">
        <v>10000.0</v>
      </c>
      <c r="Q13" s="20">
        <v>10000.0</v>
      </c>
      <c r="R13" s="20">
        <v>10000.0</v>
      </c>
      <c r="S13" s="20">
        <v>10000.0</v>
      </c>
      <c r="T13" s="20">
        <v>10000.0</v>
      </c>
      <c r="U13" s="20">
        <v>10000.0</v>
      </c>
      <c r="V13" s="20">
        <v>10000.0</v>
      </c>
      <c r="W13" s="20">
        <v>10000.0</v>
      </c>
      <c r="X13" s="20">
        <v>10000.0</v>
      </c>
      <c r="Y13" s="20">
        <v>10000.0</v>
      </c>
      <c r="Z13" s="20">
        <f t="shared" si="4"/>
        <v>204000</v>
      </c>
    </row>
    <row r="14">
      <c r="A14" s="19" t="s">
        <v>30</v>
      </c>
      <c r="B14" s="20">
        <f t="shared" ref="B14:Y14" si="5">SUM(B10:B13)</f>
        <v>160000</v>
      </c>
      <c r="C14" s="20">
        <f t="shared" si="5"/>
        <v>160000</v>
      </c>
      <c r="D14" s="20">
        <f t="shared" si="5"/>
        <v>160000</v>
      </c>
      <c r="E14" s="20">
        <f t="shared" si="5"/>
        <v>160000</v>
      </c>
      <c r="F14" s="20">
        <f t="shared" si="5"/>
        <v>160000</v>
      </c>
      <c r="G14" s="20">
        <f t="shared" si="5"/>
        <v>160000</v>
      </c>
      <c r="H14" s="20">
        <f t="shared" si="5"/>
        <v>160000</v>
      </c>
      <c r="I14" s="20">
        <f t="shared" si="5"/>
        <v>160000</v>
      </c>
      <c r="J14" s="20">
        <f t="shared" si="5"/>
        <v>160000</v>
      </c>
      <c r="K14" s="20">
        <f t="shared" si="5"/>
        <v>160000</v>
      </c>
      <c r="L14" s="20">
        <f t="shared" si="5"/>
        <v>160000</v>
      </c>
      <c r="M14" s="20">
        <f t="shared" si="5"/>
        <v>160000</v>
      </c>
      <c r="N14" s="20">
        <f t="shared" si="5"/>
        <v>195000</v>
      </c>
      <c r="O14" s="20">
        <f t="shared" si="5"/>
        <v>200909.0909</v>
      </c>
      <c r="P14" s="20">
        <f t="shared" si="5"/>
        <v>206818.1818</v>
      </c>
      <c r="Q14" s="20">
        <f t="shared" si="5"/>
        <v>212727.2727</v>
      </c>
      <c r="R14" s="20">
        <f t="shared" si="5"/>
        <v>218636.3636</v>
      </c>
      <c r="S14" s="20">
        <f t="shared" si="5"/>
        <v>224545.4545</v>
      </c>
      <c r="T14" s="20">
        <f t="shared" si="5"/>
        <v>230454.5455</v>
      </c>
      <c r="U14" s="20">
        <f t="shared" si="5"/>
        <v>236363.6364</v>
      </c>
      <c r="V14" s="20">
        <f t="shared" si="5"/>
        <v>242272.7273</v>
      </c>
      <c r="W14" s="20">
        <f t="shared" si="5"/>
        <v>248181.8182</v>
      </c>
      <c r="X14" s="20">
        <f t="shared" si="5"/>
        <v>254090.9091</v>
      </c>
      <c r="Y14" s="20">
        <f t="shared" si="5"/>
        <v>260000</v>
      </c>
      <c r="Z14" s="20">
        <f t="shared" si="4"/>
        <v>4650000</v>
      </c>
    </row>
    <row r="15">
      <c r="A15" s="19" t="s">
        <v>31</v>
      </c>
      <c r="B15" s="21">
        <f t="shared" ref="B15:Z15" si="6">IFERROR(B14/B4,0)</f>
        <v>0</v>
      </c>
      <c r="C15" s="21">
        <f t="shared" si="6"/>
        <v>0</v>
      </c>
      <c r="D15" s="21">
        <f t="shared" si="6"/>
        <v>0</v>
      </c>
      <c r="E15" s="21">
        <f t="shared" si="6"/>
        <v>0</v>
      </c>
      <c r="F15" s="21">
        <f t="shared" si="6"/>
        <v>6.4</v>
      </c>
      <c r="G15" s="21">
        <f t="shared" si="6"/>
        <v>3.555555556</v>
      </c>
      <c r="H15" s="21">
        <f t="shared" si="6"/>
        <v>2.285714286</v>
      </c>
      <c r="I15" s="21">
        <f t="shared" si="6"/>
        <v>1.684210526</v>
      </c>
      <c r="J15" s="21">
        <f t="shared" si="6"/>
        <v>1.28</v>
      </c>
      <c r="K15" s="21">
        <f t="shared" si="6"/>
        <v>1.032258065</v>
      </c>
      <c r="L15" s="21">
        <f t="shared" si="6"/>
        <v>0.8648648649</v>
      </c>
      <c r="M15" s="21">
        <f t="shared" si="6"/>
        <v>0.7441860465</v>
      </c>
      <c r="N15" s="21">
        <f t="shared" si="6"/>
        <v>0.6964285714</v>
      </c>
      <c r="O15" s="21">
        <f t="shared" si="6"/>
        <v>0.6480938416</v>
      </c>
      <c r="P15" s="21">
        <f t="shared" si="6"/>
        <v>0.5994729908</v>
      </c>
      <c r="Q15" s="21">
        <f t="shared" si="6"/>
        <v>0.5525383707</v>
      </c>
      <c r="R15" s="21">
        <f t="shared" si="6"/>
        <v>0.5084566596</v>
      </c>
      <c r="S15" s="21">
        <f t="shared" si="6"/>
        <v>0.4678030303</v>
      </c>
      <c r="T15" s="21">
        <f t="shared" si="6"/>
        <v>0.4348198971</v>
      </c>
      <c r="U15" s="21">
        <f t="shared" si="6"/>
        <v>0.4006163328</v>
      </c>
      <c r="V15" s="21">
        <f t="shared" si="6"/>
        <v>0.3670798898</v>
      </c>
      <c r="W15" s="21">
        <f t="shared" si="6"/>
        <v>0.3353808354</v>
      </c>
      <c r="X15" s="21">
        <f t="shared" si="6"/>
        <v>0.3061336254</v>
      </c>
      <c r="Y15" s="21">
        <f t="shared" si="6"/>
        <v>0.2795698925</v>
      </c>
      <c r="Z15" s="21">
        <f t="shared" si="6"/>
        <v>0.6262626263</v>
      </c>
    </row>
    <row r="16">
      <c r="A16" s="19" t="s">
        <v>32</v>
      </c>
      <c r="B16" s="20">
        <f t="shared" ref="B16:Y16" si="7">B6-B14</f>
        <v>-160000</v>
      </c>
      <c r="C16" s="20">
        <f t="shared" si="7"/>
        <v>-160000</v>
      </c>
      <c r="D16" s="20">
        <f t="shared" si="7"/>
        <v>-160000</v>
      </c>
      <c r="E16" s="20">
        <f t="shared" si="7"/>
        <v>-160000</v>
      </c>
      <c r="F16" s="20">
        <f t="shared" si="7"/>
        <v>-138750</v>
      </c>
      <c r="G16" s="20">
        <f t="shared" si="7"/>
        <v>-121750</v>
      </c>
      <c r="H16" s="20">
        <f t="shared" si="7"/>
        <v>-100500</v>
      </c>
      <c r="I16" s="20">
        <f t="shared" si="7"/>
        <v>-79250</v>
      </c>
      <c r="J16" s="20">
        <f t="shared" si="7"/>
        <v>-53750</v>
      </c>
      <c r="K16" s="20">
        <f t="shared" si="7"/>
        <v>-28250</v>
      </c>
      <c r="L16" s="20">
        <f t="shared" si="7"/>
        <v>-2750</v>
      </c>
      <c r="M16" s="20">
        <f t="shared" si="7"/>
        <v>22750</v>
      </c>
      <c r="N16" s="20">
        <f t="shared" si="7"/>
        <v>43000</v>
      </c>
      <c r="O16" s="20">
        <f t="shared" si="7"/>
        <v>62590.90909</v>
      </c>
      <c r="P16" s="20">
        <f t="shared" si="7"/>
        <v>86431.81818</v>
      </c>
      <c r="Q16" s="20">
        <f t="shared" si="7"/>
        <v>114522.7273</v>
      </c>
      <c r="R16" s="20">
        <f t="shared" si="7"/>
        <v>146863.6364</v>
      </c>
      <c r="S16" s="20">
        <f t="shared" si="7"/>
        <v>183454.5455</v>
      </c>
      <c r="T16" s="20">
        <f t="shared" si="7"/>
        <v>220045.4545</v>
      </c>
      <c r="U16" s="20">
        <f t="shared" si="7"/>
        <v>265136.3636</v>
      </c>
      <c r="V16" s="20">
        <f t="shared" si="7"/>
        <v>318727.2727</v>
      </c>
      <c r="W16" s="20">
        <f t="shared" si="7"/>
        <v>380818.1818</v>
      </c>
      <c r="X16" s="20">
        <f t="shared" si="7"/>
        <v>451409.0909</v>
      </c>
      <c r="Y16" s="20">
        <f t="shared" si="7"/>
        <v>530500</v>
      </c>
      <c r="Z16" s="20">
        <f>SUM(B16:Y16)</f>
        <v>1661250</v>
      </c>
    </row>
    <row r="17">
      <c r="A17" s="19" t="s">
        <v>33</v>
      </c>
      <c r="B17" s="21">
        <f t="shared" ref="B17:Z17" si="8">IFERROR(B16/B4,0)</f>
        <v>0</v>
      </c>
      <c r="C17" s="21">
        <f t="shared" si="8"/>
        <v>0</v>
      </c>
      <c r="D17" s="21">
        <f t="shared" si="8"/>
        <v>0</v>
      </c>
      <c r="E17" s="21">
        <f t="shared" si="8"/>
        <v>0</v>
      </c>
      <c r="F17" s="21">
        <f t="shared" si="8"/>
        <v>-5.55</v>
      </c>
      <c r="G17" s="21">
        <f t="shared" si="8"/>
        <v>-2.705555556</v>
      </c>
      <c r="H17" s="21">
        <f t="shared" si="8"/>
        <v>-1.435714286</v>
      </c>
      <c r="I17" s="21">
        <f t="shared" si="8"/>
        <v>-0.8342105263</v>
      </c>
      <c r="J17" s="21">
        <f t="shared" si="8"/>
        <v>-0.43</v>
      </c>
      <c r="K17" s="21">
        <f t="shared" si="8"/>
        <v>-0.1822580645</v>
      </c>
      <c r="L17" s="21">
        <f t="shared" si="8"/>
        <v>-0.01486486486</v>
      </c>
      <c r="M17" s="21">
        <f t="shared" si="8"/>
        <v>0.1058139535</v>
      </c>
      <c r="N17" s="21">
        <f t="shared" si="8"/>
        <v>0.1535714286</v>
      </c>
      <c r="O17" s="21">
        <f t="shared" si="8"/>
        <v>0.2019061584</v>
      </c>
      <c r="P17" s="21">
        <f t="shared" si="8"/>
        <v>0.2505270092</v>
      </c>
      <c r="Q17" s="21">
        <f t="shared" si="8"/>
        <v>0.2974616293</v>
      </c>
      <c r="R17" s="21">
        <f t="shared" si="8"/>
        <v>0.3415433404</v>
      </c>
      <c r="S17" s="21">
        <f t="shared" si="8"/>
        <v>0.3821969697</v>
      </c>
      <c r="T17" s="21">
        <f t="shared" si="8"/>
        <v>0.4151801029</v>
      </c>
      <c r="U17" s="21">
        <f t="shared" si="8"/>
        <v>0.4493836672</v>
      </c>
      <c r="V17" s="21">
        <f t="shared" si="8"/>
        <v>0.4829201102</v>
      </c>
      <c r="W17" s="21">
        <f t="shared" si="8"/>
        <v>0.5146191646</v>
      </c>
      <c r="X17" s="21">
        <f t="shared" si="8"/>
        <v>0.5438663746</v>
      </c>
      <c r="Y17" s="21">
        <f t="shared" si="8"/>
        <v>0.5704301075</v>
      </c>
      <c r="Z17" s="21">
        <f t="shared" si="8"/>
        <v>0.2237373737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12" width="12.0"/>
    <col customWidth="1" min="13" max="26" width="8.71"/>
  </cols>
  <sheetData>
    <row r="1">
      <c r="A1" s="1" t="s">
        <v>54</v>
      </c>
    </row>
    <row r="3">
      <c r="A3" s="26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</row>
    <row r="4">
      <c r="A4" s="9" t="s">
        <v>56</v>
      </c>
      <c r="B4" s="9">
        <v>38.0</v>
      </c>
      <c r="C4" s="9" t="s">
        <v>57</v>
      </c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</row>
    <row r="6">
      <c r="A6" s="7">
        <v>0.0</v>
      </c>
      <c r="B6" s="7">
        <v>0.0</v>
      </c>
      <c r="C6" s="7">
        <v>0.0</v>
      </c>
      <c r="D6" s="7">
        <v>0.0</v>
      </c>
      <c r="E6" s="7">
        <v>800.0</v>
      </c>
      <c r="F6" s="7">
        <v>1500.0</v>
      </c>
      <c r="G6" s="7">
        <v>2400.0</v>
      </c>
      <c r="H6" s="7">
        <v>3500.0</v>
      </c>
      <c r="I6" s="7">
        <v>4800.0</v>
      </c>
      <c r="J6" s="7">
        <v>6200.0</v>
      </c>
      <c r="K6" s="7">
        <v>7500.0</v>
      </c>
      <c r="L6" s="7">
        <v>8500.0</v>
      </c>
    </row>
    <row r="7">
      <c r="A7" s="7">
        <v>0.0</v>
      </c>
      <c r="B7" s="7">
        <v>0.0</v>
      </c>
      <c r="C7" s="7">
        <v>0.0</v>
      </c>
      <c r="D7" s="7">
        <v>0.0</v>
      </c>
      <c r="E7" s="7">
        <v>30400.0</v>
      </c>
      <c r="F7" s="7">
        <v>57000.0</v>
      </c>
      <c r="G7" s="7">
        <v>91200.0</v>
      </c>
      <c r="H7" s="7">
        <v>133000.0</v>
      </c>
      <c r="I7" s="7">
        <v>182400.0</v>
      </c>
      <c r="J7" s="7">
        <v>235600.0</v>
      </c>
      <c r="K7" s="7">
        <v>285000.0</v>
      </c>
      <c r="L7" s="7">
        <v>323000.0</v>
      </c>
    </row>
    <row r="9">
      <c r="A9" s="29" t="s">
        <v>58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>
      <c r="A10" s="9" t="s">
        <v>59</v>
      </c>
      <c r="B10" s="9">
        <v>175.0</v>
      </c>
      <c r="C10" s="9" t="s">
        <v>60</v>
      </c>
    </row>
    <row r="11">
      <c r="A11" s="4" t="s">
        <v>4</v>
      </c>
      <c r="B11" s="4" t="s">
        <v>5</v>
      </c>
      <c r="C11" s="4" t="s">
        <v>6</v>
      </c>
      <c r="D11" s="4" t="s">
        <v>7</v>
      </c>
      <c r="E11" s="4" t="s">
        <v>8</v>
      </c>
      <c r="F11" s="4" t="s">
        <v>9</v>
      </c>
      <c r="G11" s="4" t="s">
        <v>10</v>
      </c>
      <c r="H11" s="4" t="s">
        <v>11</v>
      </c>
      <c r="I11" s="4" t="s">
        <v>12</v>
      </c>
      <c r="J11" s="4" t="s">
        <v>13</v>
      </c>
      <c r="K11" s="4" t="s">
        <v>14</v>
      </c>
      <c r="L11" s="4" t="s">
        <v>15</v>
      </c>
    </row>
    <row r="12">
      <c r="A12" s="7">
        <v>0.0</v>
      </c>
      <c r="B12" s="7">
        <v>0.0</v>
      </c>
      <c r="C12" s="7">
        <v>0.0</v>
      </c>
      <c r="D12" s="7">
        <v>0.0</v>
      </c>
      <c r="E12" s="7">
        <v>150.0</v>
      </c>
      <c r="F12" s="7">
        <v>300.0</v>
      </c>
      <c r="G12" s="7">
        <v>500.0</v>
      </c>
      <c r="H12" s="7">
        <v>750.0</v>
      </c>
      <c r="I12" s="7">
        <v>1000.0</v>
      </c>
      <c r="J12" s="7">
        <v>1200.0</v>
      </c>
      <c r="K12" s="7">
        <v>1350.0</v>
      </c>
      <c r="L12" s="7">
        <v>1500.0</v>
      </c>
    </row>
    <row r="13">
      <c r="A13" s="7">
        <v>0.0</v>
      </c>
      <c r="B13" s="7">
        <v>0.0</v>
      </c>
      <c r="C13" s="7">
        <v>0.0</v>
      </c>
      <c r="D13" s="7">
        <v>0.0</v>
      </c>
      <c r="E13" s="7">
        <v>26250.0</v>
      </c>
      <c r="F13" s="7">
        <v>52500.0</v>
      </c>
      <c r="G13" s="7">
        <v>87500.0</v>
      </c>
      <c r="H13" s="7">
        <v>131250.0</v>
      </c>
      <c r="I13" s="7">
        <v>175000.0</v>
      </c>
      <c r="J13" s="7">
        <v>210000.0</v>
      </c>
      <c r="K13" s="7">
        <v>236250.0</v>
      </c>
      <c r="L13" s="7">
        <v>262500.0</v>
      </c>
    </row>
    <row r="15">
      <c r="A15" s="30" t="s">
        <v>61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>
      <c r="A16" s="9" t="s">
        <v>62</v>
      </c>
      <c r="B16" s="9">
        <v>285.0</v>
      </c>
      <c r="C16" s="9" t="s">
        <v>63</v>
      </c>
      <c r="D16" s="9" t="s">
        <v>64</v>
      </c>
    </row>
    <row r="17">
      <c r="A17" s="4" t="s">
        <v>4</v>
      </c>
      <c r="B17" s="4" t="s">
        <v>5</v>
      </c>
      <c r="C17" s="4" t="s">
        <v>6</v>
      </c>
      <c r="D17" s="4" t="s">
        <v>7</v>
      </c>
      <c r="E17" s="4" t="s">
        <v>8</v>
      </c>
      <c r="F17" s="4" t="s">
        <v>9</v>
      </c>
      <c r="G17" s="4" t="s">
        <v>10</v>
      </c>
      <c r="H17" s="4" t="s">
        <v>11</v>
      </c>
      <c r="I17" s="4" t="s">
        <v>12</v>
      </c>
      <c r="J17" s="4" t="s">
        <v>13</v>
      </c>
      <c r="K17" s="4" t="s">
        <v>14</v>
      </c>
      <c r="L17" s="4" t="s">
        <v>15</v>
      </c>
    </row>
    <row r="18">
      <c r="A18" s="7">
        <v>0.0</v>
      </c>
      <c r="B18" s="7">
        <v>0.0</v>
      </c>
      <c r="C18" s="7">
        <v>0.0</v>
      </c>
      <c r="D18" s="7">
        <v>0.0</v>
      </c>
      <c r="E18" s="7">
        <v>0.0</v>
      </c>
      <c r="F18" s="7">
        <v>0.0</v>
      </c>
      <c r="G18" s="7">
        <v>0.0</v>
      </c>
      <c r="H18" s="7">
        <v>200.0</v>
      </c>
      <c r="I18" s="7">
        <v>400.0</v>
      </c>
      <c r="J18" s="7">
        <v>700.0</v>
      </c>
      <c r="K18" s="7">
        <v>950.0</v>
      </c>
      <c r="L18" s="7">
        <v>1200.0</v>
      </c>
    </row>
    <row r="19">
      <c r="A19" s="7">
        <v>0.0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57000.0</v>
      </c>
      <c r="I19" s="7">
        <v>114000.0</v>
      </c>
      <c r="J19" s="7">
        <v>199500.0</v>
      </c>
      <c r="K19" s="7">
        <v>270750.0</v>
      </c>
      <c r="L19" s="7">
        <v>342000.0</v>
      </c>
    </row>
    <row r="21" ht="15.75" customHeight="1">
      <c r="A21" s="31" t="s">
        <v>65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ht="15.75" customHeight="1">
      <c r="A22" s="32">
        <v>0.0</v>
      </c>
      <c r="B22" s="32">
        <v>0.0</v>
      </c>
      <c r="C22" s="32">
        <v>0.0</v>
      </c>
      <c r="D22" s="32">
        <v>0.0</v>
      </c>
      <c r="E22" s="32">
        <v>56650.0</v>
      </c>
      <c r="F22" s="32">
        <v>109500.0</v>
      </c>
      <c r="G22" s="32">
        <v>178700.0</v>
      </c>
      <c r="H22" s="32">
        <v>321250.0</v>
      </c>
      <c r="I22" s="32">
        <v>471400.0</v>
      </c>
      <c r="J22" s="32">
        <v>645100.0</v>
      </c>
      <c r="K22" s="32">
        <v>792000.0</v>
      </c>
      <c r="L22" s="32">
        <v>927500.0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L3"/>
    <mergeCell ref="A9:L9"/>
    <mergeCell ref="A15:L15"/>
    <mergeCell ref="A21:L2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5" width="11.0"/>
    <col customWidth="1" min="26" max="26" width="14.0"/>
  </cols>
  <sheetData>
    <row r="1">
      <c r="A1" s="16" t="s">
        <v>66</v>
      </c>
    </row>
    <row r="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33" t="s">
        <v>11</v>
      </c>
      <c r="J3" s="33" t="s">
        <v>12</v>
      </c>
      <c r="K3" s="33" t="s">
        <v>13</v>
      </c>
      <c r="L3" s="33" t="s">
        <v>14</v>
      </c>
      <c r="M3" s="33" t="s">
        <v>15</v>
      </c>
      <c r="N3" s="33" t="s">
        <v>37</v>
      </c>
      <c r="O3" s="33" t="s">
        <v>38</v>
      </c>
      <c r="P3" s="33" t="s">
        <v>39</v>
      </c>
      <c r="Q3" s="33" t="s">
        <v>40</v>
      </c>
      <c r="R3" s="33" t="s">
        <v>41</v>
      </c>
      <c r="S3" s="33" t="s">
        <v>42</v>
      </c>
      <c r="T3" s="33" t="s">
        <v>43</v>
      </c>
      <c r="U3" s="33" t="s">
        <v>44</v>
      </c>
      <c r="V3" s="33" t="s">
        <v>45</v>
      </c>
      <c r="W3" s="33" t="s">
        <v>46</v>
      </c>
      <c r="X3" s="33" t="s">
        <v>47</v>
      </c>
      <c r="Y3" s="33" t="s">
        <v>48</v>
      </c>
      <c r="Z3" s="33" t="s">
        <v>16</v>
      </c>
    </row>
    <row r="4">
      <c r="A4" s="34" t="s">
        <v>67</v>
      </c>
      <c r="B4" s="35">
        <v>6000.0</v>
      </c>
      <c r="C4" s="35">
        <v>6000.0</v>
      </c>
      <c r="D4" s="35">
        <v>6000.0</v>
      </c>
      <c r="E4" s="35">
        <v>6000.0</v>
      </c>
      <c r="F4" s="35">
        <v>7500.0</v>
      </c>
      <c r="G4" s="35">
        <v>7500.0</v>
      </c>
      <c r="H4" s="35">
        <v>7500.0</v>
      </c>
      <c r="I4" s="35">
        <v>7500.0</v>
      </c>
      <c r="J4" s="35">
        <v>7500.0</v>
      </c>
      <c r="K4" s="35">
        <v>7500.0</v>
      </c>
      <c r="L4" s="35">
        <v>7500.0</v>
      </c>
      <c r="M4" s="35">
        <v>7500.0</v>
      </c>
      <c r="N4" s="35">
        <v>7500.0</v>
      </c>
      <c r="O4" s="35">
        <v>7500.0</v>
      </c>
      <c r="P4" s="35">
        <v>7500.0</v>
      </c>
      <c r="Q4" s="36">
        <v>14705.88</v>
      </c>
      <c r="R4" s="36">
        <v>14705.88</v>
      </c>
      <c r="S4" s="36">
        <v>14705.88</v>
      </c>
      <c r="T4" s="36">
        <v>14705.88</v>
      </c>
      <c r="U4" s="36">
        <v>14705.88</v>
      </c>
      <c r="V4" s="36">
        <v>14705.88</v>
      </c>
      <c r="W4" s="36">
        <v>14705.88</v>
      </c>
      <c r="X4" s="36">
        <v>14705.88</v>
      </c>
      <c r="Y4" s="36">
        <v>14705.88</v>
      </c>
      <c r="Z4" s="20">
        <f t="shared" ref="Z4:Z8" si="1">SUM(B4:Y4)</f>
        <v>238852.92</v>
      </c>
    </row>
    <row r="5">
      <c r="A5" s="34" t="s">
        <v>68</v>
      </c>
      <c r="B5" s="35">
        <v>7000.0</v>
      </c>
      <c r="C5" s="35">
        <v>7000.0</v>
      </c>
      <c r="D5" s="35">
        <v>7000.0</v>
      </c>
      <c r="E5" s="35">
        <v>7000.0</v>
      </c>
      <c r="F5" s="35">
        <v>8750.0</v>
      </c>
      <c r="G5" s="35">
        <v>8750.0</v>
      </c>
      <c r="H5" s="35">
        <v>8750.0</v>
      </c>
      <c r="I5" s="35">
        <v>8750.0</v>
      </c>
      <c r="J5" s="35">
        <v>8750.0</v>
      </c>
      <c r="K5" s="35">
        <v>8750.0</v>
      </c>
      <c r="L5" s="35">
        <v>8750.0</v>
      </c>
      <c r="M5" s="35">
        <v>8750.0</v>
      </c>
      <c r="N5" s="35">
        <v>8750.0</v>
      </c>
      <c r="O5" s="35">
        <v>8750.0</v>
      </c>
      <c r="P5" s="35">
        <v>8750.0</v>
      </c>
      <c r="Q5" s="36">
        <v>17647.06</v>
      </c>
      <c r="R5" s="36">
        <v>17647.06</v>
      </c>
      <c r="S5" s="36">
        <v>17647.06</v>
      </c>
      <c r="T5" s="36">
        <v>17647.06</v>
      </c>
      <c r="U5" s="36">
        <v>17647.06</v>
      </c>
      <c r="V5" s="36">
        <v>17647.06</v>
      </c>
      <c r="W5" s="36">
        <v>17647.06</v>
      </c>
      <c r="X5" s="36">
        <v>17647.06</v>
      </c>
      <c r="Y5" s="36">
        <v>17647.06</v>
      </c>
      <c r="Z5" s="20">
        <f t="shared" si="1"/>
        <v>283073.54</v>
      </c>
    </row>
    <row r="6">
      <c r="A6" s="34" t="s">
        <v>69</v>
      </c>
      <c r="B6" s="35">
        <v>4000.0</v>
      </c>
      <c r="C6" s="35">
        <v>4000.0</v>
      </c>
      <c r="D6" s="35">
        <v>4000.0</v>
      </c>
      <c r="E6" s="35">
        <v>4000.0</v>
      </c>
      <c r="F6" s="35">
        <v>5000.0</v>
      </c>
      <c r="G6" s="35">
        <v>5000.0</v>
      </c>
      <c r="H6" s="35">
        <v>5000.0</v>
      </c>
      <c r="I6" s="35">
        <v>5000.0</v>
      </c>
      <c r="J6" s="35">
        <v>5000.0</v>
      </c>
      <c r="K6" s="35">
        <v>5000.0</v>
      </c>
      <c r="L6" s="35">
        <v>5000.0</v>
      </c>
      <c r="M6" s="35">
        <v>5000.0</v>
      </c>
      <c r="N6" s="35">
        <v>5000.0</v>
      </c>
      <c r="O6" s="35">
        <v>5000.0</v>
      </c>
      <c r="P6" s="35">
        <v>5000.0</v>
      </c>
      <c r="Q6" s="36">
        <v>11764.71</v>
      </c>
      <c r="R6" s="36">
        <v>11764.71</v>
      </c>
      <c r="S6" s="36">
        <v>11764.71</v>
      </c>
      <c r="T6" s="36">
        <v>11764.71</v>
      </c>
      <c r="U6" s="36">
        <v>11764.71</v>
      </c>
      <c r="V6" s="36">
        <v>11764.71</v>
      </c>
      <c r="W6" s="36">
        <v>11764.71</v>
      </c>
      <c r="X6" s="36">
        <v>11764.71</v>
      </c>
      <c r="Y6" s="36">
        <v>11764.71</v>
      </c>
      <c r="Z6" s="20">
        <f t="shared" si="1"/>
        <v>176882.39</v>
      </c>
    </row>
    <row r="7">
      <c r="A7" s="34" t="s">
        <v>70</v>
      </c>
      <c r="B7" s="35">
        <v>2000.0</v>
      </c>
      <c r="C7" s="35">
        <v>2000.0</v>
      </c>
      <c r="D7" s="35">
        <v>2000.0</v>
      </c>
      <c r="E7" s="35">
        <v>2000.0</v>
      </c>
      <c r="F7" s="35">
        <v>2500.0</v>
      </c>
      <c r="G7" s="35">
        <v>2500.0</v>
      </c>
      <c r="H7" s="35">
        <v>2500.0</v>
      </c>
      <c r="I7" s="35">
        <v>2500.0</v>
      </c>
      <c r="J7" s="35">
        <v>2500.0</v>
      </c>
      <c r="K7" s="35">
        <v>2500.0</v>
      </c>
      <c r="L7" s="35">
        <v>2500.0</v>
      </c>
      <c r="M7" s="35">
        <v>2500.0</v>
      </c>
      <c r="N7" s="35">
        <v>2500.0</v>
      </c>
      <c r="O7" s="35">
        <v>2500.0</v>
      </c>
      <c r="P7" s="35">
        <v>2500.0</v>
      </c>
      <c r="Q7" s="36">
        <v>2941.18</v>
      </c>
      <c r="R7" s="36">
        <v>2941.18</v>
      </c>
      <c r="S7" s="36">
        <v>2941.18</v>
      </c>
      <c r="T7" s="36">
        <v>2941.18</v>
      </c>
      <c r="U7" s="36">
        <v>2941.18</v>
      </c>
      <c r="V7" s="36">
        <v>2941.18</v>
      </c>
      <c r="W7" s="36">
        <v>2941.18</v>
      </c>
      <c r="X7" s="36">
        <v>2941.18</v>
      </c>
      <c r="Y7" s="36">
        <v>2941.18</v>
      </c>
      <c r="Z7" s="20">
        <f t="shared" si="1"/>
        <v>61970.62</v>
      </c>
    </row>
    <row r="8">
      <c r="A8" s="34" t="s">
        <v>71</v>
      </c>
      <c r="B8" s="35">
        <v>1000.0</v>
      </c>
      <c r="C8" s="35">
        <v>1000.0</v>
      </c>
      <c r="D8" s="35">
        <v>1000.0</v>
      </c>
      <c r="E8" s="35">
        <v>1000.0</v>
      </c>
      <c r="F8" s="35">
        <v>1250.0</v>
      </c>
      <c r="G8" s="35">
        <v>1250.0</v>
      </c>
      <c r="H8" s="35">
        <v>1250.0</v>
      </c>
      <c r="I8" s="35">
        <v>1250.0</v>
      </c>
      <c r="J8" s="35">
        <v>1250.0</v>
      </c>
      <c r="K8" s="35">
        <v>1250.0</v>
      </c>
      <c r="L8" s="35">
        <v>1250.0</v>
      </c>
      <c r="M8" s="35">
        <v>1250.0</v>
      </c>
      <c r="N8" s="35">
        <v>1250.0</v>
      </c>
      <c r="O8" s="35">
        <v>1250.0</v>
      </c>
      <c r="P8" s="35">
        <v>1250.0</v>
      </c>
      <c r="Q8" s="36">
        <v>2941.18</v>
      </c>
      <c r="R8" s="36">
        <v>2941.18</v>
      </c>
      <c r="S8" s="36">
        <v>2941.18</v>
      </c>
      <c r="T8" s="36">
        <v>2941.18</v>
      </c>
      <c r="U8" s="36">
        <v>2941.18</v>
      </c>
      <c r="V8" s="36">
        <v>2941.18</v>
      </c>
      <c r="W8" s="36">
        <v>2941.18</v>
      </c>
      <c r="X8" s="36">
        <v>2941.18</v>
      </c>
      <c r="Y8" s="36">
        <v>2941.18</v>
      </c>
      <c r="Z8" s="20">
        <f t="shared" si="1"/>
        <v>44220.62</v>
      </c>
    </row>
    <row r="9">
      <c r="A9" s="34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 t="s">
        <v>72</v>
      </c>
      <c r="B10" s="37">
        <f t="shared" ref="B10:Y10" si="2">SUM(B4:B9)</f>
        <v>20000</v>
      </c>
      <c r="C10" s="37">
        <f t="shared" si="2"/>
        <v>20000</v>
      </c>
      <c r="D10" s="37">
        <f t="shared" si="2"/>
        <v>20000</v>
      </c>
      <c r="E10" s="37">
        <f t="shared" si="2"/>
        <v>20000</v>
      </c>
      <c r="F10" s="37">
        <f t="shared" si="2"/>
        <v>25000</v>
      </c>
      <c r="G10" s="37">
        <f t="shared" si="2"/>
        <v>25000</v>
      </c>
      <c r="H10" s="37">
        <f t="shared" si="2"/>
        <v>25000</v>
      </c>
      <c r="I10" s="37">
        <f t="shared" si="2"/>
        <v>25000</v>
      </c>
      <c r="J10" s="37">
        <f t="shared" si="2"/>
        <v>25000</v>
      </c>
      <c r="K10" s="37">
        <f t="shared" si="2"/>
        <v>25000</v>
      </c>
      <c r="L10" s="37">
        <f t="shared" si="2"/>
        <v>25000</v>
      </c>
      <c r="M10" s="37">
        <f t="shared" si="2"/>
        <v>25000</v>
      </c>
      <c r="N10" s="37">
        <f t="shared" si="2"/>
        <v>25000</v>
      </c>
      <c r="O10" s="37">
        <f t="shared" si="2"/>
        <v>25000</v>
      </c>
      <c r="P10" s="37">
        <f t="shared" si="2"/>
        <v>25000</v>
      </c>
      <c r="Q10" s="37">
        <f t="shared" si="2"/>
        <v>50000.01</v>
      </c>
      <c r="R10" s="37">
        <f t="shared" si="2"/>
        <v>50000.01</v>
      </c>
      <c r="S10" s="37">
        <f t="shared" si="2"/>
        <v>50000.01</v>
      </c>
      <c r="T10" s="37">
        <f t="shared" si="2"/>
        <v>50000.01</v>
      </c>
      <c r="U10" s="37">
        <f t="shared" si="2"/>
        <v>50000.01</v>
      </c>
      <c r="V10" s="37">
        <f t="shared" si="2"/>
        <v>50000.01</v>
      </c>
      <c r="W10" s="37">
        <f t="shared" si="2"/>
        <v>50000.01</v>
      </c>
      <c r="X10" s="37">
        <f t="shared" si="2"/>
        <v>50000.01</v>
      </c>
      <c r="Y10" s="37">
        <f t="shared" si="2"/>
        <v>50000.01</v>
      </c>
      <c r="Z10" s="37">
        <f>SUM(B10:Y10)</f>
        <v>805000.09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57"/>
    <col customWidth="1" min="2" max="2" width="18.0"/>
    <col customWidth="1" min="3" max="3" width="8.71"/>
    <col customWidth="1" min="4" max="4" width="12.0"/>
    <col customWidth="1" min="5" max="5" width="18.0"/>
    <col customWidth="1" min="6" max="6" width="8.71"/>
    <col customWidth="1" min="7" max="7" width="20.0"/>
    <col customWidth="1" min="8" max="8" width="10.0"/>
    <col customWidth="1" min="9" max="10" width="12.0"/>
    <col customWidth="1" min="11" max="11" width="14.0"/>
    <col customWidth="1" min="12" max="26" width="8.71"/>
  </cols>
  <sheetData>
    <row r="1">
      <c r="A1" s="1" t="s">
        <v>73</v>
      </c>
    </row>
    <row r="3">
      <c r="A3" s="38" t="s">
        <v>74</v>
      </c>
      <c r="B3" s="38" t="s">
        <v>75</v>
      </c>
      <c r="D3" s="39" t="s">
        <v>76</v>
      </c>
      <c r="G3" s="13" t="s">
        <v>77</v>
      </c>
    </row>
    <row r="4">
      <c r="A4" s="34" t="s">
        <v>78</v>
      </c>
      <c r="B4" s="40">
        <v>2500000.0</v>
      </c>
      <c r="D4" s="38" t="s">
        <v>79</v>
      </c>
      <c r="E4" s="38" t="s">
        <v>80</v>
      </c>
      <c r="G4" s="38" t="s">
        <v>81</v>
      </c>
      <c r="H4" s="38" t="s">
        <v>82</v>
      </c>
      <c r="I4" s="38" t="s">
        <v>83</v>
      </c>
      <c r="J4" s="38" t="s">
        <v>84</v>
      </c>
      <c r="K4" s="38" t="s">
        <v>85</v>
      </c>
    </row>
    <row r="5">
      <c r="A5" s="34" t="s">
        <v>86</v>
      </c>
      <c r="B5" s="41">
        <v>0.85</v>
      </c>
      <c r="D5" s="42">
        <v>1.0</v>
      </c>
      <c r="E5" s="20">
        <v>0.0</v>
      </c>
      <c r="G5" s="34" t="s">
        <v>87</v>
      </c>
      <c r="H5" s="42" t="s">
        <v>88</v>
      </c>
      <c r="I5" s="43">
        <v>0.0</v>
      </c>
      <c r="J5" s="43">
        <v>0.0</v>
      </c>
      <c r="K5" s="43">
        <v>0.0</v>
      </c>
    </row>
    <row r="6">
      <c r="A6" s="34" t="s">
        <v>89</v>
      </c>
      <c r="B6" s="40">
        <v>38.0</v>
      </c>
      <c r="D6" s="42">
        <v>2.0</v>
      </c>
      <c r="E6" s="20">
        <v>0.0</v>
      </c>
      <c r="G6" s="34" t="s">
        <v>90</v>
      </c>
      <c r="H6" s="42" t="s">
        <v>91</v>
      </c>
      <c r="I6" s="43">
        <v>1.0</v>
      </c>
      <c r="J6" s="43">
        <v>0.0</v>
      </c>
      <c r="K6" s="43">
        <v>0.0</v>
      </c>
    </row>
    <row r="7">
      <c r="A7" s="34" t="s">
        <v>92</v>
      </c>
      <c r="B7" s="40">
        <v>42.0</v>
      </c>
      <c r="D7" s="42">
        <v>3.0</v>
      </c>
      <c r="E7" s="20">
        <v>0.0</v>
      </c>
      <c r="G7" s="34" t="s">
        <v>93</v>
      </c>
      <c r="H7" s="42" t="s">
        <v>94</v>
      </c>
      <c r="I7" s="43">
        <v>0.7</v>
      </c>
      <c r="J7" s="43">
        <v>0.3</v>
      </c>
      <c r="K7" s="43">
        <v>0.0</v>
      </c>
    </row>
    <row r="8">
      <c r="A8" s="34" t="s">
        <v>95</v>
      </c>
      <c r="B8" s="40">
        <v>175.0</v>
      </c>
      <c r="D8" s="42">
        <v>4.0</v>
      </c>
      <c r="E8" s="20">
        <v>0.0</v>
      </c>
      <c r="G8" s="34" t="s">
        <v>96</v>
      </c>
      <c r="H8" s="42" t="s">
        <v>97</v>
      </c>
      <c r="I8" s="43">
        <v>0.6</v>
      </c>
      <c r="J8" s="43">
        <v>0.4</v>
      </c>
      <c r="K8" s="43">
        <v>0.0</v>
      </c>
    </row>
    <row r="9">
      <c r="A9" s="34" t="s">
        <v>98</v>
      </c>
      <c r="B9" s="40">
        <v>285.0</v>
      </c>
      <c r="D9" s="42">
        <v>5.0</v>
      </c>
      <c r="E9" s="20">
        <v>25000.0</v>
      </c>
      <c r="G9" s="34" t="s">
        <v>99</v>
      </c>
      <c r="H9" s="42" t="s">
        <v>100</v>
      </c>
      <c r="I9" s="43">
        <v>0.38</v>
      </c>
      <c r="J9" s="43">
        <v>0.27</v>
      </c>
      <c r="K9" s="43">
        <v>0.35</v>
      </c>
    </row>
    <row r="10">
      <c r="A10" s="34" t="s">
        <v>101</v>
      </c>
      <c r="B10" s="44">
        <v>0.08</v>
      </c>
      <c r="D10" s="42">
        <v>6.0</v>
      </c>
      <c r="E10" s="20">
        <v>45000.0</v>
      </c>
    </row>
    <row r="11">
      <c r="A11" s="34" t="s">
        <v>102</v>
      </c>
      <c r="B11" s="45">
        <v>8.99</v>
      </c>
      <c r="D11" s="42">
        <v>7.0</v>
      </c>
      <c r="E11" s="20">
        <v>70000.0</v>
      </c>
    </row>
    <row r="12">
      <c r="A12" s="34" t="s">
        <v>103</v>
      </c>
      <c r="B12" s="45">
        <v>28.99</v>
      </c>
      <c r="D12" s="42">
        <v>8.0</v>
      </c>
      <c r="E12" s="20">
        <v>95000.0</v>
      </c>
    </row>
    <row r="13">
      <c r="A13" s="34" t="s">
        <v>104</v>
      </c>
      <c r="B13" s="45">
        <v>49.99</v>
      </c>
      <c r="D13" s="42">
        <v>9.0</v>
      </c>
      <c r="E13" s="20">
        <v>125000.0</v>
      </c>
    </row>
    <row r="14">
      <c r="D14" s="42">
        <v>10.0</v>
      </c>
      <c r="E14" s="20">
        <v>155000.0</v>
      </c>
    </row>
    <row r="15">
      <c r="D15" s="42">
        <v>11.0</v>
      </c>
      <c r="E15" s="20">
        <v>185000.0</v>
      </c>
    </row>
    <row r="16">
      <c r="D16" s="42">
        <v>12.0</v>
      </c>
      <c r="E16" s="20">
        <v>215000.0</v>
      </c>
    </row>
    <row r="17">
      <c r="D17" s="42">
        <v>13.0</v>
      </c>
      <c r="E17" s="20">
        <v>280000.0</v>
      </c>
    </row>
    <row r="18">
      <c r="D18" s="42">
        <v>14.0</v>
      </c>
      <c r="E18" s="20">
        <v>310000.0</v>
      </c>
    </row>
    <row r="19">
      <c r="D19" s="42">
        <v>15.0</v>
      </c>
      <c r="E19" s="20">
        <v>345000.0</v>
      </c>
    </row>
    <row r="20">
      <c r="D20" s="42">
        <v>16.0</v>
      </c>
      <c r="E20" s="20">
        <v>385000.0</v>
      </c>
    </row>
    <row r="21" ht="15.75" customHeight="1">
      <c r="D21" s="42">
        <v>17.0</v>
      </c>
      <c r="E21" s="20">
        <v>430000.0</v>
      </c>
    </row>
    <row r="22" ht="15.75" customHeight="1">
      <c r="D22" s="42">
        <v>18.0</v>
      </c>
      <c r="E22" s="20">
        <v>480000.0</v>
      </c>
    </row>
    <row r="23" ht="15.75" customHeight="1">
      <c r="D23" s="42">
        <v>19.0</v>
      </c>
      <c r="E23" s="20">
        <v>530000.0</v>
      </c>
    </row>
    <row r="24" ht="15.75" customHeight="1">
      <c r="D24" s="42">
        <v>20.0</v>
      </c>
      <c r="E24" s="20">
        <v>590000.0</v>
      </c>
    </row>
    <row r="25" ht="15.75" customHeight="1">
      <c r="D25" s="42">
        <v>21.0</v>
      </c>
      <c r="E25" s="20">
        <v>660000.0</v>
      </c>
    </row>
    <row r="26" ht="15.75" customHeight="1">
      <c r="D26" s="42">
        <v>22.0</v>
      </c>
      <c r="E26" s="20">
        <v>740000.0</v>
      </c>
    </row>
    <row r="27" ht="15.75" customHeight="1">
      <c r="D27" s="42">
        <v>23.0</v>
      </c>
      <c r="E27" s="20">
        <v>830000.0</v>
      </c>
    </row>
    <row r="28" ht="15.75" customHeight="1">
      <c r="D28" s="42">
        <v>24.0</v>
      </c>
      <c r="E28" s="20">
        <v>930000.0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5" width="11.0"/>
    <col customWidth="1" min="26" max="26" width="14.0"/>
  </cols>
  <sheetData>
    <row r="1">
      <c r="A1" s="16" t="s">
        <v>105</v>
      </c>
    </row>
    <row r="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33" t="s">
        <v>11</v>
      </c>
      <c r="J3" s="33" t="s">
        <v>12</v>
      </c>
      <c r="K3" s="33" t="s">
        <v>13</v>
      </c>
      <c r="L3" s="33" t="s">
        <v>14</v>
      </c>
      <c r="M3" s="33" t="s">
        <v>15</v>
      </c>
      <c r="N3" s="33" t="s">
        <v>37</v>
      </c>
      <c r="O3" s="33" t="s">
        <v>38</v>
      </c>
      <c r="P3" s="33" t="s">
        <v>39</v>
      </c>
      <c r="Q3" s="33" t="s">
        <v>40</v>
      </c>
      <c r="R3" s="33" t="s">
        <v>41</v>
      </c>
      <c r="S3" s="33" t="s">
        <v>42</v>
      </c>
      <c r="T3" s="33" t="s">
        <v>43</v>
      </c>
      <c r="U3" s="33" t="s">
        <v>44</v>
      </c>
      <c r="V3" s="33" t="s">
        <v>45</v>
      </c>
      <c r="W3" s="33" t="s">
        <v>46</v>
      </c>
      <c r="X3" s="33" t="s">
        <v>47</v>
      </c>
      <c r="Y3" s="33" t="s">
        <v>48</v>
      </c>
      <c r="Z3" s="33" t="s">
        <v>16</v>
      </c>
    </row>
    <row r="4">
      <c r="A4" s="19" t="s">
        <v>106</v>
      </c>
      <c r="B4" s="40">
        <f>IF(1&gt;=13,Inputs_Assumptions!$B$7,Inputs_Assumptions!$B$6)</f>
        <v>38</v>
      </c>
      <c r="C4" s="40">
        <f>IF(2&gt;=13,Inputs_Assumptions!$B$7,Inputs_Assumptions!$B$6)</f>
        <v>38</v>
      </c>
      <c r="D4" s="40">
        <f>IF(3&gt;=13,Inputs_Assumptions!$B$7,Inputs_Assumptions!$B$6)</f>
        <v>38</v>
      </c>
      <c r="E4" s="40">
        <f>IF(4&gt;=13,Inputs_Assumptions!$B$7,Inputs_Assumptions!$B$6)</f>
        <v>38</v>
      </c>
      <c r="F4" s="40">
        <f>IF(5&gt;=13,Inputs_Assumptions!$B$7,Inputs_Assumptions!$B$6)</f>
        <v>38</v>
      </c>
      <c r="G4" s="40">
        <f>IF(6&gt;=13,Inputs_Assumptions!$B$7,Inputs_Assumptions!$B$6)</f>
        <v>38</v>
      </c>
      <c r="H4" s="40">
        <f>IF(7&gt;=13,Inputs_Assumptions!$B$7,Inputs_Assumptions!$B$6)</f>
        <v>38</v>
      </c>
      <c r="I4" s="40">
        <f>IF(8&gt;=13,Inputs_Assumptions!$B$7,Inputs_Assumptions!$B$6)</f>
        <v>38</v>
      </c>
      <c r="J4" s="40">
        <f>IF(9&gt;=13,Inputs_Assumptions!$B$7,Inputs_Assumptions!$B$6)</f>
        <v>38</v>
      </c>
      <c r="K4" s="40">
        <f>IF(10&gt;=13,Inputs_Assumptions!$B$7,Inputs_Assumptions!$B$6)</f>
        <v>38</v>
      </c>
      <c r="L4" s="40">
        <f>IF(11&gt;=13,Inputs_Assumptions!$B$7,Inputs_Assumptions!$B$6)</f>
        <v>38</v>
      </c>
      <c r="M4" s="40">
        <f>IF(12&gt;=13,Inputs_Assumptions!$B$7,Inputs_Assumptions!$B$6)</f>
        <v>38</v>
      </c>
      <c r="N4" s="40">
        <f>IF(13&gt;=13,Inputs_Assumptions!$B$7,Inputs_Assumptions!$B$6)</f>
        <v>42</v>
      </c>
      <c r="O4" s="40">
        <f>IF(14&gt;=13,Inputs_Assumptions!$B$7,Inputs_Assumptions!$B$6)</f>
        <v>42</v>
      </c>
      <c r="P4" s="40">
        <f>IF(15&gt;=13,Inputs_Assumptions!$B$7,Inputs_Assumptions!$B$6)</f>
        <v>42</v>
      </c>
      <c r="Q4" s="40">
        <f>IF(16&gt;=13,Inputs_Assumptions!$B$7,Inputs_Assumptions!$B$6)</f>
        <v>42</v>
      </c>
      <c r="R4" s="40">
        <f>IF(17&gt;=13,Inputs_Assumptions!$B$7,Inputs_Assumptions!$B$6)</f>
        <v>42</v>
      </c>
      <c r="S4" s="40">
        <f>IF(18&gt;=13,Inputs_Assumptions!$B$7,Inputs_Assumptions!$B$6)</f>
        <v>42</v>
      </c>
      <c r="T4" s="40">
        <f>IF(19&gt;=13,Inputs_Assumptions!$B$7,Inputs_Assumptions!$B$6)</f>
        <v>42</v>
      </c>
      <c r="U4" s="40">
        <f>IF(20&gt;=13,Inputs_Assumptions!$B$7,Inputs_Assumptions!$B$6)</f>
        <v>42</v>
      </c>
      <c r="V4" s="40">
        <f>IF(21&gt;=13,Inputs_Assumptions!$B$7,Inputs_Assumptions!$B$6)</f>
        <v>42</v>
      </c>
      <c r="W4" s="40">
        <f>IF(22&gt;=13,Inputs_Assumptions!$B$7,Inputs_Assumptions!$B$6)</f>
        <v>42</v>
      </c>
      <c r="X4" s="40">
        <f>IF(23&gt;=13,Inputs_Assumptions!$B$7,Inputs_Assumptions!$B$6)</f>
        <v>42</v>
      </c>
      <c r="Y4" s="40">
        <f>IF(24&gt;=13,Inputs_Assumptions!$B$7,Inputs_Assumptions!$B$6)</f>
        <v>42</v>
      </c>
      <c r="Z4" s="46"/>
    </row>
    <row r="5">
      <c r="A5" s="19" t="s">
        <v>107</v>
      </c>
      <c r="B5" s="40">
        <f>Inputs_Assumptions!$B$8</f>
        <v>175</v>
      </c>
      <c r="C5" s="40">
        <f>Inputs_Assumptions!$B$8</f>
        <v>175</v>
      </c>
      <c r="D5" s="40">
        <f>Inputs_Assumptions!$B$8</f>
        <v>175</v>
      </c>
      <c r="E5" s="40">
        <f>Inputs_Assumptions!$B$8</f>
        <v>175</v>
      </c>
      <c r="F5" s="40">
        <f>Inputs_Assumptions!$B$8</f>
        <v>175</v>
      </c>
      <c r="G5" s="40">
        <f>Inputs_Assumptions!$B$8</f>
        <v>175</v>
      </c>
      <c r="H5" s="40">
        <f>Inputs_Assumptions!$B$8</f>
        <v>175</v>
      </c>
      <c r="I5" s="40">
        <f>Inputs_Assumptions!$B$8</f>
        <v>175</v>
      </c>
      <c r="J5" s="40">
        <f>Inputs_Assumptions!$B$8</f>
        <v>175</v>
      </c>
      <c r="K5" s="40">
        <f>Inputs_Assumptions!$B$8</f>
        <v>175</v>
      </c>
      <c r="L5" s="40">
        <f>Inputs_Assumptions!$B$8</f>
        <v>175</v>
      </c>
      <c r="M5" s="40">
        <f>Inputs_Assumptions!$B$8</f>
        <v>175</v>
      </c>
      <c r="N5" s="40">
        <f>Inputs_Assumptions!$B$8</f>
        <v>175</v>
      </c>
      <c r="O5" s="40">
        <f>Inputs_Assumptions!$B$8</f>
        <v>175</v>
      </c>
      <c r="P5" s="40">
        <f>Inputs_Assumptions!$B$8</f>
        <v>175</v>
      </c>
      <c r="Q5" s="40">
        <f>Inputs_Assumptions!$B$8</f>
        <v>175</v>
      </c>
      <c r="R5" s="40">
        <f>Inputs_Assumptions!$B$8</f>
        <v>175</v>
      </c>
      <c r="S5" s="40">
        <f>Inputs_Assumptions!$B$8</f>
        <v>175</v>
      </c>
      <c r="T5" s="40">
        <f>Inputs_Assumptions!$B$8</f>
        <v>175</v>
      </c>
      <c r="U5" s="40">
        <f>Inputs_Assumptions!$B$8</f>
        <v>175</v>
      </c>
      <c r="V5" s="40">
        <f>Inputs_Assumptions!$B$8</f>
        <v>175</v>
      </c>
      <c r="W5" s="40">
        <f>Inputs_Assumptions!$B$8</f>
        <v>175</v>
      </c>
      <c r="X5" s="40">
        <f>Inputs_Assumptions!$B$8</f>
        <v>175</v>
      </c>
      <c r="Y5" s="40">
        <f>Inputs_Assumptions!$B$8</f>
        <v>175</v>
      </c>
      <c r="Z5" s="46"/>
    </row>
    <row r="6">
      <c r="A6" s="19" t="s">
        <v>108</v>
      </c>
      <c r="B6" s="40">
        <f>Inputs_Assumptions!$B$9</f>
        <v>285</v>
      </c>
      <c r="C6" s="40">
        <f>Inputs_Assumptions!$B$9</f>
        <v>285</v>
      </c>
      <c r="D6" s="40">
        <f>Inputs_Assumptions!$B$9</f>
        <v>285</v>
      </c>
      <c r="E6" s="40">
        <f>Inputs_Assumptions!$B$9</f>
        <v>285</v>
      </c>
      <c r="F6" s="40">
        <f>Inputs_Assumptions!$B$9</f>
        <v>285</v>
      </c>
      <c r="G6" s="40">
        <f>Inputs_Assumptions!$B$9</f>
        <v>285</v>
      </c>
      <c r="H6" s="40">
        <f>Inputs_Assumptions!$B$9</f>
        <v>285</v>
      </c>
      <c r="I6" s="40">
        <f>Inputs_Assumptions!$B$9</f>
        <v>285</v>
      </c>
      <c r="J6" s="40">
        <f>Inputs_Assumptions!$B$9</f>
        <v>285</v>
      </c>
      <c r="K6" s="40">
        <f>Inputs_Assumptions!$B$9</f>
        <v>285</v>
      </c>
      <c r="L6" s="40">
        <f>Inputs_Assumptions!$B$9</f>
        <v>285</v>
      </c>
      <c r="M6" s="40">
        <f>Inputs_Assumptions!$B$9</f>
        <v>285</v>
      </c>
      <c r="N6" s="40">
        <f>Inputs_Assumptions!$B$9</f>
        <v>285</v>
      </c>
      <c r="O6" s="40">
        <f>Inputs_Assumptions!$B$9</f>
        <v>285</v>
      </c>
      <c r="P6" s="40">
        <f>Inputs_Assumptions!$B$9</f>
        <v>285</v>
      </c>
      <c r="Q6" s="40">
        <f>Inputs_Assumptions!$B$9</f>
        <v>285</v>
      </c>
      <c r="R6" s="40">
        <f>Inputs_Assumptions!$B$9</f>
        <v>285</v>
      </c>
      <c r="S6" s="40">
        <f>Inputs_Assumptions!$B$9</f>
        <v>285</v>
      </c>
      <c r="T6" s="40">
        <f>Inputs_Assumptions!$B$9</f>
        <v>285</v>
      </c>
      <c r="U6" s="40">
        <f>Inputs_Assumptions!$B$9</f>
        <v>285</v>
      </c>
      <c r="V6" s="40">
        <f>Inputs_Assumptions!$B$9</f>
        <v>285</v>
      </c>
      <c r="W6" s="40">
        <f>Inputs_Assumptions!$B$9</f>
        <v>285</v>
      </c>
      <c r="X6" s="40">
        <f>Inputs_Assumptions!$B$9</f>
        <v>285</v>
      </c>
      <c r="Y6" s="40">
        <f>Inputs_Assumptions!$B$9</f>
        <v>285</v>
      </c>
      <c r="Z6" s="46"/>
    </row>
    <row r="7">
      <c r="A7" s="34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9" t="s">
        <v>109</v>
      </c>
      <c r="B8" s="44">
        <v>0.0</v>
      </c>
      <c r="C8" s="44">
        <v>0.0</v>
      </c>
      <c r="D8" s="44">
        <v>0.0</v>
      </c>
      <c r="E8" s="44">
        <v>0.0</v>
      </c>
      <c r="F8" s="44">
        <v>1.0</v>
      </c>
      <c r="G8" s="44">
        <v>1.0</v>
      </c>
      <c r="H8" s="44">
        <v>1.0</v>
      </c>
      <c r="I8" s="44">
        <v>0.7</v>
      </c>
      <c r="J8" s="44">
        <v>0.7</v>
      </c>
      <c r="K8" s="44">
        <v>0.6</v>
      </c>
      <c r="L8" s="44">
        <v>0.6</v>
      </c>
      <c r="M8" s="44">
        <v>0.6</v>
      </c>
      <c r="N8" s="44">
        <v>0.38</v>
      </c>
      <c r="O8" s="44">
        <v>0.38</v>
      </c>
      <c r="P8" s="44">
        <v>0.38</v>
      </c>
      <c r="Q8" s="44">
        <v>0.38</v>
      </c>
      <c r="R8" s="44">
        <v>0.38</v>
      </c>
      <c r="S8" s="44">
        <v>0.38</v>
      </c>
      <c r="T8" s="44">
        <v>0.38</v>
      </c>
      <c r="U8" s="44">
        <v>0.38</v>
      </c>
      <c r="V8" s="44">
        <v>0.38</v>
      </c>
      <c r="W8" s="44">
        <v>0.38</v>
      </c>
      <c r="X8" s="44">
        <v>0.38</v>
      </c>
      <c r="Y8" s="44">
        <v>0.38</v>
      </c>
      <c r="Z8" s="46"/>
    </row>
    <row r="9">
      <c r="A9" s="19" t="s">
        <v>110</v>
      </c>
      <c r="B9" s="44">
        <v>0.0</v>
      </c>
      <c r="C9" s="44">
        <v>0.0</v>
      </c>
      <c r="D9" s="44">
        <v>0.0</v>
      </c>
      <c r="E9" s="44">
        <v>0.0</v>
      </c>
      <c r="F9" s="44">
        <v>0.0</v>
      </c>
      <c r="G9" s="44">
        <v>0.0</v>
      </c>
      <c r="H9" s="44">
        <v>0.0</v>
      </c>
      <c r="I9" s="44">
        <v>0.3</v>
      </c>
      <c r="J9" s="44">
        <v>0.3</v>
      </c>
      <c r="K9" s="44">
        <v>0.4</v>
      </c>
      <c r="L9" s="44">
        <v>0.4</v>
      </c>
      <c r="M9" s="44">
        <v>0.4</v>
      </c>
      <c r="N9" s="44">
        <v>0.27</v>
      </c>
      <c r="O9" s="44">
        <v>0.27</v>
      </c>
      <c r="P9" s="44">
        <v>0.27</v>
      </c>
      <c r="Q9" s="44">
        <v>0.27</v>
      </c>
      <c r="R9" s="44">
        <v>0.27</v>
      </c>
      <c r="S9" s="44">
        <v>0.27</v>
      </c>
      <c r="T9" s="44">
        <v>0.27</v>
      </c>
      <c r="U9" s="44">
        <v>0.27</v>
      </c>
      <c r="V9" s="44">
        <v>0.27</v>
      </c>
      <c r="W9" s="44">
        <v>0.27</v>
      </c>
      <c r="X9" s="44">
        <v>0.27</v>
      </c>
      <c r="Y9" s="44">
        <v>0.27</v>
      </c>
      <c r="Z9" s="46"/>
    </row>
    <row r="10">
      <c r="A10" s="19" t="s">
        <v>111</v>
      </c>
      <c r="B10" s="44">
        <v>0.0</v>
      </c>
      <c r="C10" s="44">
        <v>0.0</v>
      </c>
      <c r="D10" s="44">
        <v>0.0</v>
      </c>
      <c r="E10" s="44">
        <v>0.0</v>
      </c>
      <c r="F10" s="44">
        <v>0.0</v>
      </c>
      <c r="G10" s="44">
        <v>0.0</v>
      </c>
      <c r="H10" s="44">
        <v>0.0</v>
      </c>
      <c r="I10" s="44">
        <v>0.0</v>
      </c>
      <c r="J10" s="44">
        <v>0.0</v>
      </c>
      <c r="K10" s="44">
        <v>0.0</v>
      </c>
      <c r="L10" s="44">
        <v>0.0</v>
      </c>
      <c r="M10" s="44">
        <v>0.0</v>
      </c>
      <c r="N10" s="44">
        <v>0.35</v>
      </c>
      <c r="O10" s="44">
        <v>0.35</v>
      </c>
      <c r="P10" s="44">
        <v>0.35</v>
      </c>
      <c r="Q10" s="44">
        <v>0.35</v>
      </c>
      <c r="R10" s="44">
        <v>0.35</v>
      </c>
      <c r="S10" s="44">
        <v>0.35</v>
      </c>
      <c r="T10" s="44">
        <v>0.35</v>
      </c>
      <c r="U10" s="44">
        <v>0.35</v>
      </c>
      <c r="V10" s="44">
        <v>0.35</v>
      </c>
      <c r="W10" s="44">
        <v>0.35</v>
      </c>
      <c r="X10" s="44">
        <v>0.35</v>
      </c>
      <c r="Y10" s="44">
        <v>0.35</v>
      </c>
      <c r="Z10" s="46"/>
    </row>
    <row r="11">
      <c r="A11" s="3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9" t="s">
        <v>112</v>
      </c>
      <c r="B12" s="20">
        <f t="shared" ref="B12:Y12" si="1">B16*B8</f>
        <v>0</v>
      </c>
      <c r="C12" s="20">
        <f t="shared" si="1"/>
        <v>0</v>
      </c>
      <c r="D12" s="20">
        <f t="shared" si="1"/>
        <v>0</v>
      </c>
      <c r="E12" s="20">
        <f t="shared" si="1"/>
        <v>0</v>
      </c>
      <c r="F12" s="20">
        <f t="shared" si="1"/>
        <v>25000</v>
      </c>
      <c r="G12" s="20">
        <f t="shared" si="1"/>
        <v>45000</v>
      </c>
      <c r="H12" s="20">
        <f t="shared" si="1"/>
        <v>70000</v>
      </c>
      <c r="I12" s="20">
        <f t="shared" si="1"/>
        <v>66500</v>
      </c>
      <c r="J12" s="20">
        <f t="shared" si="1"/>
        <v>87500</v>
      </c>
      <c r="K12" s="20">
        <f t="shared" si="1"/>
        <v>93000</v>
      </c>
      <c r="L12" s="20">
        <f t="shared" si="1"/>
        <v>111000</v>
      </c>
      <c r="M12" s="20">
        <f t="shared" si="1"/>
        <v>129000</v>
      </c>
      <c r="N12" s="20">
        <f t="shared" si="1"/>
        <v>106400</v>
      </c>
      <c r="O12" s="20">
        <f t="shared" si="1"/>
        <v>117800</v>
      </c>
      <c r="P12" s="20">
        <f t="shared" si="1"/>
        <v>131100</v>
      </c>
      <c r="Q12" s="20">
        <f t="shared" si="1"/>
        <v>146300</v>
      </c>
      <c r="R12" s="20">
        <f t="shared" si="1"/>
        <v>163400</v>
      </c>
      <c r="S12" s="20">
        <f t="shared" si="1"/>
        <v>182400</v>
      </c>
      <c r="T12" s="20">
        <f t="shared" si="1"/>
        <v>201400</v>
      </c>
      <c r="U12" s="20">
        <f t="shared" si="1"/>
        <v>224200</v>
      </c>
      <c r="V12" s="20">
        <f t="shared" si="1"/>
        <v>250800</v>
      </c>
      <c r="W12" s="20">
        <f t="shared" si="1"/>
        <v>281200</v>
      </c>
      <c r="X12" s="20">
        <f t="shared" si="1"/>
        <v>315400</v>
      </c>
      <c r="Y12" s="20">
        <f t="shared" si="1"/>
        <v>353400</v>
      </c>
      <c r="Z12" s="20">
        <f t="shared" ref="Z12:Z14" si="3">SUM(B12:Y12)</f>
        <v>3100800</v>
      </c>
    </row>
    <row r="13">
      <c r="A13" s="19" t="s">
        <v>113</v>
      </c>
      <c r="B13" s="20">
        <f t="shared" ref="B13:Y13" si="2">B16*B9</f>
        <v>0</v>
      </c>
      <c r="C13" s="20">
        <f t="shared" si="2"/>
        <v>0</v>
      </c>
      <c r="D13" s="20">
        <f t="shared" si="2"/>
        <v>0</v>
      </c>
      <c r="E13" s="20">
        <f t="shared" si="2"/>
        <v>0</v>
      </c>
      <c r="F13" s="20">
        <f t="shared" si="2"/>
        <v>0</v>
      </c>
      <c r="G13" s="20">
        <f t="shared" si="2"/>
        <v>0</v>
      </c>
      <c r="H13" s="20">
        <f t="shared" si="2"/>
        <v>0</v>
      </c>
      <c r="I13" s="20">
        <f t="shared" si="2"/>
        <v>28500</v>
      </c>
      <c r="J13" s="20">
        <f t="shared" si="2"/>
        <v>37500</v>
      </c>
      <c r="K13" s="20">
        <f t="shared" si="2"/>
        <v>62000</v>
      </c>
      <c r="L13" s="20">
        <f t="shared" si="2"/>
        <v>74000</v>
      </c>
      <c r="M13" s="20">
        <f t="shared" si="2"/>
        <v>86000</v>
      </c>
      <c r="N13" s="20">
        <f t="shared" si="2"/>
        <v>75600</v>
      </c>
      <c r="O13" s="20">
        <f t="shared" si="2"/>
        <v>83700</v>
      </c>
      <c r="P13" s="20">
        <f t="shared" si="2"/>
        <v>93150</v>
      </c>
      <c r="Q13" s="20">
        <f t="shared" si="2"/>
        <v>103950</v>
      </c>
      <c r="R13" s="20">
        <f t="shared" si="2"/>
        <v>116100</v>
      </c>
      <c r="S13" s="20">
        <f t="shared" si="2"/>
        <v>129600</v>
      </c>
      <c r="T13" s="20">
        <f t="shared" si="2"/>
        <v>143100</v>
      </c>
      <c r="U13" s="20">
        <f t="shared" si="2"/>
        <v>159300</v>
      </c>
      <c r="V13" s="20">
        <f t="shared" si="2"/>
        <v>178200</v>
      </c>
      <c r="W13" s="20">
        <f t="shared" si="2"/>
        <v>199800</v>
      </c>
      <c r="X13" s="20">
        <f t="shared" si="2"/>
        <v>224100</v>
      </c>
      <c r="Y13" s="20">
        <f t="shared" si="2"/>
        <v>251100</v>
      </c>
      <c r="Z13" s="20">
        <f t="shared" si="3"/>
        <v>2045700</v>
      </c>
    </row>
    <row r="14">
      <c r="A14" s="19" t="s">
        <v>114</v>
      </c>
      <c r="B14" s="20">
        <f t="shared" ref="B14:Y14" si="4">B16*B10</f>
        <v>0</v>
      </c>
      <c r="C14" s="20">
        <f t="shared" si="4"/>
        <v>0</v>
      </c>
      <c r="D14" s="20">
        <f t="shared" si="4"/>
        <v>0</v>
      </c>
      <c r="E14" s="20">
        <f t="shared" si="4"/>
        <v>0</v>
      </c>
      <c r="F14" s="20">
        <f t="shared" si="4"/>
        <v>0</v>
      </c>
      <c r="G14" s="20">
        <f t="shared" si="4"/>
        <v>0</v>
      </c>
      <c r="H14" s="20">
        <f t="shared" si="4"/>
        <v>0</v>
      </c>
      <c r="I14" s="20">
        <f t="shared" si="4"/>
        <v>0</v>
      </c>
      <c r="J14" s="20">
        <f t="shared" si="4"/>
        <v>0</v>
      </c>
      <c r="K14" s="20">
        <f t="shared" si="4"/>
        <v>0</v>
      </c>
      <c r="L14" s="20">
        <f t="shared" si="4"/>
        <v>0</v>
      </c>
      <c r="M14" s="20">
        <f t="shared" si="4"/>
        <v>0</v>
      </c>
      <c r="N14" s="20">
        <f t="shared" si="4"/>
        <v>98000</v>
      </c>
      <c r="O14" s="20">
        <f t="shared" si="4"/>
        <v>108500</v>
      </c>
      <c r="P14" s="20">
        <f t="shared" si="4"/>
        <v>120750</v>
      </c>
      <c r="Q14" s="20">
        <f t="shared" si="4"/>
        <v>134750</v>
      </c>
      <c r="R14" s="20">
        <f t="shared" si="4"/>
        <v>150500</v>
      </c>
      <c r="S14" s="20">
        <f t="shared" si="4"/>
        <v>168000</v>
      </c>
      <c r="T14" s="20">
        <f t="shared" si="4"/>
        <v>185500</v>
      </c>
      <c r="U14" s="20">
        <f t="shared" si="4"/>
        <v>206500</v>
      </c>
      <c r="V14" s="20">
        <f t="shared" si="4"/>
        <v>231000</v>
      </c>
      <c r="W14" s="20">
        <f t="shared" si="4"/>
        <v>259000</v>
      </c>
      <c r="X14" s="20">
        <f t="shared" si="4"/>
        <v>290500</v>
      </c>
      <c r="Y14" s="20">
        <f t="shared" si="4"/>
        <v>325500</v>
      </c>
      <c r="Z14" s="20">
        <f t="shared" si="3"/>
        <v>2278500</v>
      </c>
    </row>
    <row r="15">
      <c r="A15" s="34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9" t="s">
        <v>65</v>
      </c>
      <c r="B16" s="20">
        <f>Master_Proforma!B4</f>
        <v>0</v>
      </c>
      <c r="C16" s="20">
        <f>Master_Proforma!C4</f>
        <v>0</v>
      </c>
      <c r="D16" s="20">
        <f>Master_Proforma!D4</f>
        <v>0</v>
      </c>
      <c r="E16" s="20">
        <f>Master_Proforma!E4</f>
        <v>0</v>
      </c>
      <c r="F16" s="20">
        <f>Master_Proforma!F4</f>
        <v>25000</v>
      </c>
      <c r="G16" s="20">
        <f>Master_Proforma!G4</f>
        <v>45000</v>
      </c>
      <c r="H16" s="20">
        <f>Master_Proforma!H4</f>
        <v>70000</v>
      </c>
      <c r="I16" s="20">
        <f>Master_Proforma!I4</f>
        <v>95000</v>
      </c>
      <c r="J16" s="20">
        <f>Master_Proforma!J4</f>
        <v>125000</v>
      </c>
      <c r="K16" s="20">
        <f>Master_Proforma!K4</f>
        <v>155000</v>
      </c>
      <c r="L16" s="20">
        <f>Master_Proforma!L4</f>
        <v>185000</v>
      </c>
      <c r="M16" s="20">
        <f>Master_Proforma!M4</f>
        <v>215000</v>
      </c>
      <c r="N16" s="20">
        <f>Master_Proforma!N4</f>
        <v>280000</v>
      </c>
      <c r="O16" s="20">
        <f>Master_Proforma!O4</f>
        <v>310000</v>
      </c>
      <c r="P16" s="20">
        <f>Master_Proforma!P4</f>
        <v>345000</v>
      </c>
      <c r="Q16" s="20">
        <f>Master_Proforma!Q4</f>
        <v>385000</v>
      </c>
      <c r="R16" s="20">
        <f>Master_Proforma!R4</f>
        <v>430000</v>
      </c>
      <c r="S16" s="20">
        <f>Master_Proforma!S4</f>
        <v>480000</v>
      </c>
      <c r="T16" s="20">
        <f>Master_Proforma!T4</f>
        <v>530000</v>
      </c>
      <c r="U16" s="20">
        <f>Master_Proforma!U4</f>
        <v>590000</v>
      </c>
      <c r="V16" s="20">
        <f>Master_Proforma!V4</f>
        <v>660000</v>
      </c>
      <c r="W16" s="20">
        <f>Master_Proforma!W4</f>
        <v>740000</v>
      </c>
      <c r="X16" s="20">
        <f>Master_Proforma!X4</f>
        <v>830000</v>
      </c>
      <c r="Y16" s="20">
        <f>Master_Proforma!Y4</f>
        <v>930000</v>
      </c>
      <c r="Z16" s="20">
        <f>SUM(B16:Y16)</f>
        <v>7425000</v>
      </c>
    </row>
    <row r="17">
      <c r="A17" s="3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3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9" t="s">
        <v>115</v>
      </c>
      <c r="B19" s="47">
        <f t="shared" ref="B19:Y19" si="5">IFERROR(B12/B4,0)</f>
        <v>0</v>
      </c>
      <c r="C19" s="47">
        <f t="shared" si="5"/>
        <v>0</v>
      </c>
      <c r="D19" s="47">
        <f t="shared" si="5"/>
        <v>0</v>
      </c>
      <c r="E19" s="47">
        <f t="shared" si="5"/>
        <v>0</v>
      </c>
      <c r="F19" s="47">
        <f t="shared" si="5"/>
        <v>657.8947368</v>
      </c>
      <c r="G19" s="47">
        <f t="shared" si="5"/>
        <v>1184.210526</v>
      </c>
      <c r="H19" s="47">
        <f t="shared" si="5"/>
        <v>1842.105263</v>
      </c>
      <c r="I19" s="47">
        <f t="shared" si="5"/>
        <v>1750</v>
      </c>
      <c r="J19" s="47">
        <f t="shared" si="5"/>
        <v>2302.631579</v>
      </c>
      <c r="K19" s="47">
        <f t="shared" si="5"/>
        <v>2447.368421</v>
      </c>
      <c r="L19" s="47">
        <f t="shared" si="5"/>
        <v>2921.052632</v>
      </c>
      <c r="M19" s="47">
        <f t="shared" si="5"/>
        <v>3394.736842</v>
      </c>
      <c r="N19" s="47">
        <f t="shared" si="5"/>
        <v>2533.333333</v>
      </c>
      <c r="O19" s="47">
        <f t="shared" si="5"/>
        <v>2804.761905</v>
      </c>
      <c r="P19" s="47">
        <f t="shared" si="5"/>
        <v>3121.428571</v>
      </c>
      <c r="Q19" s="47">
        <f t="shared" si="5"/>
        <v>3483.333333</v>
      </c>
      <c r="R19" s="47">
        <f t="shared" si="5"/>
        <v>3890.47619</v>
      </c>
      <c r="S19" s="47">
        <f t="shared" si="5"/>
        <v>4342.857143</v>
      </c>
      <c r="T19" s="47">
        <f t="shared" si="5"/>
        <v>4795.238095</v>
      </c>
      <c r="U19" s="47">
        <f t="shared" si="5"/>
        <v>5338.095238</v>
      </c>
      <c r="V19" s="47">
        <f t="shared" si="5"/>
        <v>5971.428571</v>
      </c>
      <c r="W19" s="47">
        <f t="shared" si="5"/>
        <v>6695.238095</v>
      </c>
      <c r="X19" s="47">
        <f t="shared" si="5"/>
        <v>7509.52381</v>
      </c>
      <c r="Y19" s="47">
        <f t="shared" si="5"/>
        <v>8414.285714</v>
      </c>
      <c r="Z19" s="47">
        <f t="shared" ref="Z19:Z21" si="7">AVERAGE(B19:Y19)</f>
        <v>3141.666667</v>
      </c>
    </row>
    <row r="20">
      <c r="A20" s="19" t="s">
        <v>116</v>
      </c>
      <c r="B20" s="47">
        <f t="shared" ref="B20:Y20" si="6">IFERROR(B13/B5,0)</f>
        <v>0</v>
      </c>
      <c r="C20" s="47">
        <f t="shared" si="6"/>
        <v>0</v>
      </c>
      <c r="D20" s="47">
        <f t="shared" si="6"/>
        <v>0</v>
      </c>
      <c r="E20" s="47">
        <f t="shared" si="6"/>
        <v>0</v>
      </c>
      <c r="F20" s="47">
        <f t="shared" si="6"/>
        <v>0</v>
      </c>
      <c r="G20" s="47">
        <f t="shared" si="6"/>
        <v>0</v>
      </c>
      <c r="H20" s="47">
        <f t="shared" si="6"/>
        <v>0</v>
      </c>
      <c r="I20" s="47">
        <f t="shared" si="6"/>
        <v>162.8571429</v>
      </c>
      <c r="J20" s="47">
        <f t="shared" si="6"/>
        <v>214.2857143</v>
      </c>
      <c r="K20" s="47">
        <f t="shared" si="6"/>
        <v>354.2857143</v>
      </c>
      <c r="L20" s="47">
        <f t="shared" si="6"/>
        <v>422.8571429</v>
      </c>
      <c r="M20" s="47">
        <f t="shared" si="6"/>
        <v>491.4285714</v>
      </c>
      <c r="N20" s="47">
        <f t="shared" si="6"/>
        <v>432</v>
      </c>
      <c r="O20" s="47">
        <f t="shared" si="6"/>
        <v>478.2857143</v>
      </c>
      <c r="P20" s="47">
        <f t="shared" si="6"/>
        <v>532.2857143</v>
      </c>
      <c r="Q20" s="47">
        <f t="shared" si="6"/>
        <v>594</v>
      </c>
      <c r="R20" s="47">
        <f t="shared" si="6"/>
        <v>663.4285714</v>
      </c>
      <c r="S20" s="47">
        <f t="shared" si="6"/>
        <v>740.5714286</v>
      </c>
      <c r="T20" s="47">
        <f t="shared" si="6"/>
        <v>817.7142857</v>
      </c>
      <c r="U20" s="47">
        <f t="shared" si="6"/>
        <v>910.2857143</v>
      </c>
      <c r="V20" s="47">
        <f t="shared" si="6"/>
        <v>1018.285714</v>
      </c>
      <c r="W20" s="47">
        <f t="shared" si="6"/>
        <v>1141.714286</v>
      </c>
      <c r="X20" s="47">
        <f t="shared" si="6"/>
        <v>1280.571429</v>
      </c>
      <c r="Y20" s="47">
        <f t="shared" si="6"/>
        <v>1434.857143</v>
      </c>
      <c r="Z20" s="47">
        <f t="shared" si="7"/>
        <v>487.0714286</v>
      </c>
    </row>
    <row r="21" ht="15.75" customHeight="1">
      <c r="A21" s="19" t="s">
        <v>117</v>
      </c>
      <c r="B21" s="47">
        <f t="shared" ref="B21:Y21" si="8">IFERROR(B14/B6,0)</f>
        <v>0</v>
      </c>
      <c r="C21" s="47">
        <f t="shared" si="8"/>
        <v>0</v>
      </c>
      <c r="D21" s="47">
        <f t="shared" si="8"/>
        <v>0</v>
      </c>
      <c r="E21" s="47">
        <f t="shared" si="8"/>
        <v>0</v>
      </c>
      <c r="F21" s="47">
        <f t="shared" si="8"/>
        <v>0</v>
      </c>
      <c r="G21" s="47">
        <f t="shared" si="8"/>
        <v>0</v>
      </c>
      <c r="H21" s="47">
        <f t="shared" si="8"/>
        <v>0</v>
      </c>
      <c r="I21" s="47">
        <f t="shared" si="8"/>
        <v>0</v>
      </c>
      <c r="J21" s="47">
        <f t="shared" si="8"/>
        <v>0</v>
      </c>
      <c r="K21" s="47">
        <f t="shared" si="8"/>
        <v>0</v>
      </c>
      <c r="L21" s="47">
        <f t="shared" si="8"/>
        <v>0</v>
      </c>
      <c r="M21" s="47">
        <f t="shared" si="8"/>
        <v>0</v>
      </c>
      <c r="N21" s="47">
        <f t="shared" si="8"/>
        <v>343.8596491</v>
      </c>
      <c r="O21" s="47">
        <f t="shared" si="8"/>
        <v>380.7017544</v>
      </c>
      <c r="P21" s="47">
        <f t="shared" si="8"/>
        <v>423.6842105</v>
      </c>
      <c r="Q21" s="47">
        <f t="shared" si="8"/>
        <v>472.8070175</v>
      </c>
      <c r="R21" s="47">
        <f t="shared" si="8"/>
        <v>528.0701754</v>
      </c>
      <c r="S21" s="47">
        <f t="shared" si="8"/>
        <v>589.4736842</v>
      </c>
      <c r="T21" s="47">
        <f t="shared" si="8"/>
        <v>650.877193</v>
      </c>
      <c r="U21" s="47">
        <f t="shared" si="8"/>
        <v>724.5614035</v>
      </c>
      <c r="V21" s="47">
        <f t="shared" si="8"/>
        <v>810.5263158</v>
      </c>
      <c r="W21" s="47">
        <f t="shared" si="8"/>
        <v>908.7719298</v>
      </c>
      <c r="X21" s="47">
        <f t="shared" si="8"/>
        <v>1019.298246</v>
      </c>
      <c r="Y21" s="47">
        <f t="shared" si="8"/>
        <v>1142.105263</v>
      </c>
      <c r="Z21" s="47">
        <f t="shared" si="7"/>
        <v>333.1140351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14" width="12.0"/>
    <col customWidth="1" min="15" max="25" width="11.0"/>
    <col customWidth="1" min="26" max="26" width="14.0"/>
  </cols>
  <sheetData>
    <row r="1">
      <c r="A1" s="16" t="s">
        <v>118</v>
      </c>
    </row>
    <row r="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33" t="s">
        <v>11</v>
      </c>
      <c r="J3" s="33" t="s">
        <v>12</v>
      </c>
      <c r="K3" s="33" t="s">
        <v>13</v>
      </c>
      <c r="L3" s="33" t="s">
        <v>14</v>
      </c>
      <c r="M3" s="33" t="s">
        <v>15</v>
      </c>
      <c r="N3" s="33" t="s">
        <v>37</v>
      </c>
      <c r="O3" s="33" t="s">
        <v>38</v>
      </c>
      <c r="P3" s="33" t="s">
        <v>39</v>
      </c>
      <c r="Q3" s="33" t="s">
        <v>40</v>
      </c>
      <c r="R3" s="33" t="s">
        <v>41</v>
      </c>
      <c r="S3" s="33" t="s">
        <v>42</v>
      </c>
      <c r="T3" s="33" t="s">
        <v>43</v>
      </c>
      <c r="U3" s="33" t="s">
        <v>44</v>
      </c>
      <c r="V3" s="33" t="s">
        <v>45</v>
      </c>
      <c r="W3" s="33" t="s">
        <v>46</v>
      </c>
      <c r="X3" s="33" t="s">
        <v>47</v>
      </c>
      <c r="Y3" s="33" t="s">
        <v>48</v>
      </c>
      <c r="Z3" s="33" t="s">
        <v>16</v>
      </c>
    </row>
    <row r="4">
      <c r="A4" s="34" t="s">
        <v>119</v>
      </c>
      <c r="B4" s="48">
        <v>2500.0</v>
      </c>
      <c r="C4" s="48">
        <v>2500.0</v>
      </c>
      <c r="D4" s="48">
        <v>2500.0</v>
      </c>
      <c r="E4" s="48">
        <v>2500.0</v>
      </c>
      <c r="F4" s="48">
        <v>17500.0</v>
      </c>
      <c r="G4" s="48">
        <v>17500.0</v>
      </c>
      <c r="H4" s="48">
        <v>17500.0</v>
      </c>
      <c r="I4" s="48">
        <v>17500.0</v>
      </c>
      <c r="J4" s="48">
        <v>30000.0</v>
      </c>
      <c r="K4" s="48">
        <v>30000.0</v>
      </c>
      <c r="L4" s="48">
        <v>30000.0</v>
      </c>
      <c r="M4" s="48">
        <v>30000.0</v>
      </c>
      <c r="N4" s="48">
        <v>23850.0</v>
      </c>
      <c r="O4" s="48">
        <v>23850.0</v>
      </c>
      <c r="P4" s="48">
        <v>23850.0</v>
      </c>
      <c r="Q4" s="48">
        <v>18972.0</v>
      </c>
      <c r="R4" s="48">
        <v>18972.0</v>
      </c>
      <c r="S4" s="48">
        <v>18972.0</v>
      </c>
      <c r="T4" s="48">
        <v>15091.2</v>
      </c>
      <c r="U4" s="48">
        <v>15091.2</v>
      </c>
      <c r="V4" s="48">
        <v>15091.2</v>
      </c>
      <c r="W4" s="48">
        <v>12000.0</v>
      </c>
      <c r="X4" s="48">
        <v>12000.0</v>
      </c>
      <c r="Y4" s="48">
        <v>12000.0</v>
      </c>
      <c r="Z4" s="20">
        <f t="shared" ref="Z4:Z8" si="1">SUM(B4:Y4)</f>
        <v>409739.6</v>
      </c>
    </row>
    <row r="5">
      <c r="A5" s="34" t="s">
        <v>120</v>
      </c>
      <c r="B5" s="48">
        <v>1875.0</v>
      </c>
      <c r="C5" s="48">
        <v>1875.0</v>
      </c>
      <c r="D5" s="48">
        <v>1875.0</v>
      </c>
      <c r="E5" s="48">
        <v>1875.0</v>
      </c>
      <c r="F5" s="48">
        <v>13125.0</v>
      </c>
      <c r="G5" s="48">
        <v>13125.0</v>
      </c>
      <c r="H5" s="48">
        <v>13125.0</v>
      </c>
      <c r="I5" s="48">
        <v>13125.0</v>
      </c>
      <c r="J5" s="48">
        <v>22500.0</v>
      </c>
      <c r="K5" s="48">
        <v>22500.0</v>
      </c>
      <c r="L5" s="48">
        <v>22500.0</v>
      </c>
      <c r="M5" s="48">
        <v>22500.0</v>
      </c>
      <c r="N5" s="48">
        <v>17887.5</v>
      </c>
      <c r="O5" s="48">
        <v>17887.5</v>
      </c>
      <c r="P5" s="48">
        <v>17887.5</v>
      </c>
      <c r="Q5" s="48">
        <v>14229.0</v>
      </c>
      <c r="R5" s="48">
        <v>14229.0</v>
      </c>
      <c r="S5" s="48">
        <v>14229.0</v>
      </c>
      <c r="T5" s="48">
        <v>11318.4</v>
      </c>
      <c r="U5" s="48">
        <v>11318.4</v>
      </c>
      <c r="V5" s="48">
        <v>11318.4</v>
      </c>
      <c r="W5" s="48">
        <v>9000.0</v>
      </c>
      <c r="X5" s="48">
        <v>9000.0</v>
      </c>
      <c r="Y5" s="48">
        <v>9000.0</v>
      </c>
      <c r="Z5" s="20">
        <f t="shared" si="1"/>
        <v>307304.7</v>
      </c>
    </row>
    <row r="6">
      <c r="A6" s="34" t="s">
        <v>121</v>
      </c>
      <c r="B6" s="48">
        <v>938.0</v>
      </c>
      <c r="C6" s="48">
        <v>938.0</v>
      </c>
      <c r="D6" s="48">
        <v>938.0</v>
      </c>
      <c r="E6" s="48">
        <v>938.0</v>
      </c>
      <c r="F6" s="48">
        <v>6563.0</v>
      </c>
      <c r="G6" s="48">
        <v>6563.0</v>
      </c>
      <c r="H6" s="48">
        <v>6563.0</v>
      </c>
      <c r="I6" s="48">
        <v>6563.0</v>
      </c>
      <c r="J6" s="48">
        <v>11250.0</v>
      </c>
      <c r="K6" s="48">
        <v>11250.0</v>
      </c>
      <c r="L6" s="48">
        <v>11250.0</v>
      </c>
      <c r="M6" s="48">
        <v>11250.0</v>
      </c>
      <c r="N6" s="48">
        <v>8943.75</v>
      </c>
      <c r="O6" s="48">
        <v>8943.75</v>
      </c>
      <c r="P6" s="48">
        <v>8943.75</v>
      </c>
      <c r="Q6" s="48">
        <v>7114.5</v>
      </c>
      <c r="R6" s="48">
        <v>7114.5</v>
      </c>
      <c r="S6" s="48">
        <v>7114.5</v>
      </c>
      <c r="T6" s="48">
        <v>5659.2</v>
      </c>
      <c r="U6" s="48">
        <v>5659.2</v>
      </c>
      <c r="V6" s="48">
        <v>5659.2</v>
      </c>
      <c r="W6" s="48">
        <v>4500.0</v>
      </c>
      <c r="X6" s="48">
        <v>4500.0</v>
      </c>
      <c r="Y6" s="48">
        <v>4500.0</v>
      </c>
      <c r="Z6" s="20">
        <f t="shared" si="1"/>
        <v>153656.35</v>
      </c>
    </row>
    <row r="7">
      <c r="A7" s="34" t="s">
        <v>122</v>
      </c>
      <c r="B7" s="48">
        <v>625.0</v>
      </c>
      <c r="C7" s="48">
        <v>625.0</v>
      </c>
      <c r="D7" s="48">
        <v>625.0</v>
      </c>
      <c r="E7" s="48">
        <v>625.0</v>
      </c>
      <c r="F7" s="48">
        <v>4375.0</v>
      </c>
      <c r="G7" s="48">
        <v>4375.0</v>
      </c>
      <c r="H7" s="48">
        <v>4375.0</v>
      </c>
      <c r="I7" s="48">
        <v>4375.0</v>
      </c>
      <c r="J7" s="48">
        <v>7500.0</v>
      </c>
      <c r="K7" s="48">
        <v>7500.0</v>
      </c>
      <c r="L7" s="48">
        <v>7500.0</v>
      </c>
      <c r="M7" s="48">
        <v>7500.0</v>
      </c>
      <c r="N7" s="48">
        <v>5962.5</v>
      </c>
      <c r="O7" s="48">
        <v>5962.5</v>
      </c>
      <c r="P7" s="48">
        <v>5962.5</v>
      </c>
      <c r="Q7" s="48">
        <v>4743.0</v>
      </c>
      <c r="R7" s="48">
        <v>4743.0</v>
      </c>
      <c r="S7" s="48">
        <v>4743.0</v>
      </c>
      <c r="T7" s="48">
        <v>3772.8</v>
      </c>
      <c r="U7" s="48">
        <v>3772.8</v>
      </c>
      <c r="V7" s="48">
        <v>3772.8</v>
      </c>
      <c r="W7" s="48">
        <v>3000.0</v>
      </c>
      <c r="X7" s="48">
        <v>3000.0</v>
      </c>
      <c r="Y7" s="48">
        <v>3000.0</v>
      </c>
      <c r="Z7" s="20">
        <f t="shared" si="1"/>
        <v>102434.9</v>
      </c>
    </row>
    <row r="8">
      <c r="A8" s="34" t="s">
        <v>123</v>
      </c>
      <c r="B8" s="48">
        <v>313.0</v>
      </c>
      <c r="C8" s="48">
        <v>313.0</v>
      </c>
      <c r="D8" s="48">
        <v>313.0</v>
      </c>
      <c r="E8" s="48">
        <v>313.0</v>
      </c>
      <c r="F8" s="48">
        <v>2187.0</v>
      </c>
      <c r="G8" s="48">
        <v>2187.0</v>
      </c>
      <c r="H8" s="48">
        <v>2187.0</v>
      </c>
      <c r="I8" s="48">
        <v>2187.0</v>
      </c>
      <c r="J8" s="48">
        <v>3750.0</v>
      </c>
      <c r="K8" s="48">
        <v>3750.0</v>
      </c>
      <c r="L8" s="48">
        <v>3750.0</v>
      </c>
      <c r="M8" s="48">
        <v>3750.0</v>
      </c>
      <c r="N8" s="48">
        <v>2981.25</v>
      </c>
      <c r="O8" s="48">
        <v>2981.25</v>
      </c>
      <c r="P8" s="48">
        <v>2981.25</v>
      </c>
      <c r="Q8" s="48">
        <v>2371.5</v>
      </c>
      <c r="R8" s="48">
        <v>2371.5</v>
      </c>
      <c r="S8" s="48">
        <v>2371.5</v>
      </c>
      <c r="T8" s="48">
        <v>1886.4</v>
      </c>
      <c r="U8" s="48">
        <v>1886.4</v>
      </c>
      <c r="V8" s="48">
        <v>1886.4</v>
      </c>
      <c r="W8" s="48">
        <v>1500.0</v>
      </c>
      <c r="X8" s="48">
        <v>1500.0</v>
      </c>
      <c r="Y8" s="48">
        <v>1500.0</v>
      </c>
      <c r="Z8" s="20">
        <f t="shared" si="1"/>
        <v>51217.45</v>
      </c>
    </row>
    <row r="9">
      <c r="A9" s="34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 t="s">
        <v>72</v>
      </c>
      <c r="B10" s="37">
        <f t="shared" ref="B10:Y10" si="2">SUM(B4:B9)</f>
        <v>6251</v>
      </c>
      <c r="C10" s="37">
        <f t="shared" si="2"/>
        <v>6251</v>
      </c>
      <c r="D10" s="37">
        <f t="shared" si="2"/>
        <v>6251</v>
      </c>
      <c r="E10" s="37">
        <f t="shared" si="2"/>
        <v>6251</v>
      </c>
      <c r="F10" s="37">
        <f t="shared" si="2"/>
        <v>43750</v>
      </c>
      <c r="G10" s="37">
        <f t="shared" si="2"/>
        <v>43750</v>
      </c>
      <c r="H10" s="37">
        <f t="shared" si="2"/>
        <v>43750</v>
      </c>
      <c r="I10" s="37">
        <f t="shared" si="2"/>
        <v>43750</v>
      </c>
      <c r="J10" s="37">
        <f t="shared" si="2"/>
        <v>75000</v>
      </c>
      <c r="K10" s="37">
        <f t="shared" si="2"/>
        <v>75000</v>
      </c>
      <c r="L10" s="37">
        <f t="shared" si="2"/>
        <v>75000</v>
      </c>
      <c r="M10" s="37">
        <f t="shared" si="2"/>
        <v>75000</v>
      </c>
      <c r="N10" s="37">
        <f t="shared" si="2"/>
        <v>59625</v>
      </c>
      <c r="O10" s="37">
        <f t="shared" si="2"/>
        <v>59625</v>
      </c>
      <c r="P10" s="37">
        <f t="shared" si="2"/>
        <v>59625</v>
      </c>
      <c r="Q10" s="37">
        <f t="shared" si="2"/>
        <v>47430</v>
      </c>
      <c r="R10" s="37">
        <f t="shared" si="2"/>
        <v>47430</v>
      </c>
      <c r="S10" s="37">
        <f t="shared" si="2"/>
        <v>47430</v>
      </c>
      <c r="T10" s="37">
        <f t="shared" si="2"/>
        <v>37728</v>
      </c>
      <c r="U10" s="37">
        <f t="shared" si="2"/>
        <v>37728</v>
      </c>
      <c r="V10" s="37">
        <f t="shared" si="2"/>
        <v>37728</v>
      </c>
      <c r="W10" s="37">
        <f t="shared" si="2"/>
        <v>30000</v>
      </c>
      <c r="X10" s="37">
        <f t="shared" si="2"/>
        <v>30000</v>
      </c>
      <c r="Y10" s="37">
        <f t="shared" si="2"/>
        <v>30000</v>
      </c>
      <c r="Z10" s="37">
        <f>SUM(B10:Y10)</f>
        <v>1024353</v>
      </c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5" width="11.0"/>
    <col customWidth="1" min="26" max="26" width="14.0"/>
  </cols>
  <sheetData>
    <row r="1">
      <c r="A1" s="16" t="s">
        <v>124</v>
      </c>
    </row>
    <row r="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33" t="s">
        <v>11</v>
      </c>
      <c r="J3" s="33" t="s">
        <v>12</v>
      </c>
      <c r="K3" s="33" t="s">
        <v>13</v>
      </c>
      <c r="L3" s="33" t="s">
        <v>14</v>
      </c>
      <c r="M3" s="33" t="s">
        <v>15</v>
      </c>
      <c r="N3" s="33" t="s">
        <v>37</v>
      </c>
      <c r="O3" s="33" t="s">
        <v>38</v>
      </c>
      <c r="P3" s="33" t="s">
        <v>39</v>
      </c>
      <c r="Q3" s="33" t="s">
        <v>40</v>
      </c>
      <c r="R3" s="33" t="s">
        <v>41</v>
      </c>
      <c r="S3" s="33" t="s">
        <v>42</v>
      </c>
      <c r="T3" s="33" t="s">
        <v>43</v>
      </c>
      <c r="U3" s="33" t="s">
        <v>44</v>
      </c>
      <c r="V3" s="33" t="s">
        <v>45</v>
      </c>
      <c r="W3" s="33" t="s">
        <v>46</v>
      </c>
      <c r="X3" s="33" t="s">
        <v>47</v>
      </c>
      <c r="Y3" s="33" t="s">
        <v>48</v>
      </c>
      <c r="Z3" s="33" t="s">
        <v>16</v>
      </c>
    </row>
    <row r="4">
      <c r="A4" s="34" t="s">
        <v>125</v>
      </c>
      <c r="B4" s="20">
        <v>18000.0</v>
      </c>
      <c r="C4" s="20">
        <v>18000.0</v>
      </c>
      <c r="D4" s="20">
        <v>18000.0</v>
      </c>
      <c r="E4" s="20">
        <v>18000.0</v>
      </c>
      <c r="F4" s="20">
        <v>18000.0</v>
      </c>
      <c r="G4" s="20">
        <v>18000.0</v>
      </c>
      <c r="H4" s="20">
        <v>18000.0</v>
      </c>
      <c r="I4" s="20">
        <v>18000.0</v>
      </c>
      <c r="J4" s="20">
        <v>18000.0</v>
      </c>
      <c r="K4" s="20">
        <v>18000.0</v>
      </c>
      <c r="L4" s="20">
        <v>18000.0</v>
      </c>
      <c r="M4" s="20">
        <v>18000.0</v>
      </c>
      <c r="N4" s="20">
        <v>18000.0</v>
      </c>
      <c r="O4" s="20">
        <v>18000.0</v>
      </c>
      <c r="P4" s="20">
        <v>18000.0</v>
      </c>
      <c r="Q4" s="20">
        <v>18000.0</v>
      </c>
      <c r="R4" s="20">
        <v>18000.0</v>
      </c>
      <c r="S4" s="20">
        <v>18000.0</v>
      </c>
      <c r="T4" s="20">
        <v>18000.0</v>
      </c>
      <c r="U4" s="20">
        <v>18000.0</v>
      </c>
      <c r="V4" s="20">
        <v>18000.0</v>
      </c>
      <c r="W4" s="20">
        <v>18000.0</v>
      </c>
      <c r="X4" s="20">
        <v>18000.0</v>
      </c>
      <c r="Y4" s="20">
        <v>18000.0</v>
      </c>
      <c r="Z4" s="20">
        <f t="shared" ref="Z4:Z12" si="1">SUM(B4:Y4)</f>
        <v>432000</v>
      </c>
    </row>
    <row r="5">
      <c r="A5" s="34" t="s">
        <v>126</v>
      </c>
      <c r="B5" s="20">
        <v>15000.0</v>
      </c>
      <c r="C5" s="20">
        <v>15000.0</v>
      </c>
      <c r="D5" s="20">
        <v>15000.0</v>
      </c>
      <c r="E5" s="20">
        <v>15000.0</v>
      </c>
      <c r="F5" s="20">
        <v>15000.0</v>
      </c>
      <c r="G5" s="20">
        <v>15000.0</v>
      </c>
      <c r="H5" s="20">
        <v>15000.0</v>
      </c>
      <c r="I5" s="20">
        <v>15000.0</v>
      </c>
      <c r="J5" s="20">
        <v>15000.0</v>
      </c>
      <c r="K5" s="20">
        <v>15000.0</v>
      </c>
      <c r="L5" s="20">
        <v>15000.0</v>
      </c>
      <c r="M5" s="20">
        <v>15000.0</v>
      </c>
      <c r="N5" s="20">
        <v>15000.0</v>
      </c>
      <c r="O5" s="20">
        <v>15000.0</v>
      </c>
      <c r="P5" s="20">
        <v>15000.0</v>
      </c>
      <c r="Q5" s="20">
        <v>15000.0</v>
      </c>
      <c r="R5" s="20">
        <v>15000.0</v>
      </c>
      <c r="S5" s="20">
        <v>15000.0</v>
      </c>
      <c r="T5" s="20">
        <v>15000.0</v>
      </c>
      <c r="U5" s="20">
        <v>15000.0</v>
      </c>
      <c r="V5" s="20">
        <v>15000.0</v>
      </c>
      <c r="W5" s="20">
        <v>15000.0</v>
      </c>
      <c r="X5" s="20">
        <v>15000.0</v>
      </c>
      <c r="Y5" s="20">
        <v>15000.0</v>
      </c>
      <c r="Z5" s="20">
        <f t="shared" si="1"/>
        <v>360000</v>
      </c>
    </row>
    <row r="6">
      <c r="A6" s="34" t="s">
        <v>127</v>
      </c>
      <c r="B6" s="20">
        <v>15000.0</v>
      </c>
      <c r="C6" s="20">
        <v>15000.0</v>
      </c>
      <c r="D6" s="20">
        <v>15000.0</v>
      </c>
      <c r="E6" s="20">
        <v>15000.0</v>
      </c>
      <c r="F6" s="20">
        <v>15000.0</v>
      </c>
      <c r="G6" s="20">
        <v>15000.0</v>
      </c>
      <c r="H6" s="20">
        <v>15000.0</v>
      </c>
      <c r="I6" s="20">
        <v>15000.0</v>
      </c>
      <c r="J6" s="20">
        <v>15000.0</v>
      </c>
      <c r="K6" s="20">
        <v>15000.0</v>
      </c>
      <c r="L6" s="20">
        <v>15000.0</v>
      </c>
      <c r="M6" s="20">
        <v>15000.0</v>
      </c>
      <c r="N6" s="20">
        <v>15000.0</v>
      </c>
      <c r="O6" s="20">
        <v>15000.0</v>
      </c>
      <c r="P6" s="20">
        <v>15000.0</v>
      </c>
      <c r="Q6" s="20">
        <v>15000.0</v>
      </c>
      <c r="R6" s="20">
        <v>15000.0</v>
      </c>
      <c r="S6" s="20">
        <v>15000.0</v>
      </c>
      <c r="T6" s="20">
        <v>15000.0</v>
      </c>
      <c r="U6" s="20">
        <v>15000.0</v>
      </c>
      <c r="V6" s="20">
        <v>15000.0</v>
      </c>
      <c r="W6" s="20">
        <v>15000.0</v>
      </c>
      <c r="X6" s="20">
        <v>15000.0</v>
      </c>
      <c r="Y6" s="20">
        <v>15000.0</v>
      </c>
      <c r="Z6" s="20">
        <f t="shared" si="1"/>
        <v>360000</v>
      </c>
    </row>
    <row r="7">
      <c r="A7" s="34" t="s">
        <v>128</v>
      </c>
      <c r="B7" s="20">
        <v>16000.0</v>
      </c>
      <c r="C7" s="20">
        <v>16000.0</v>
      </c>
      <c r="D7" s="20">
        <v>16000.0</v>
      </c>
      <c r="E7" s="20">
        <v>16000.0</v>
      </c>
      <c r="F7" s="20">
        <v>16000.0</v>
      </c>
      <c r="G7" s="20">
        <v>16000.0</v>
      </c>
      <c r="H7" s="20">
        <v>16000.0</v>
      </c>
      <c r="I7" s="20">
        <v>16000.0</v>
      </c>
      <c r="J7" s="20">
        <v>16000.0</v>
      </c>
      <c r="K7" s="20">
        <v>16000.0</v>
      </c>
      <c r="L7" s="20">
        <v>16000.0</v>
      </c>
      <c r="M7" s="20">
        <v>16000.0</v>
      </c>
      <c r="N7" s="20">
        <v>16000.0</v>
      </c>
      <c r="O7" s="20">
        <v>16000.0</v>
      </c>
      <c r="P7" s="20">
        <v>16000.0</v>
      </c>
      <c r="Q7" s="20">
        <v>16000.0</v>
      </c>
      <c r="R7" s="20">
        <v>16000.0</v>
      </c>
      <c r="S7" s="20">
        <v>16000.0</v>
      </c>
      <c r="T7" s="20">
        <v>16000.0</v>
      </c>
      <c r="U7" s="20">
        <v>16000.0</v>
      </c>
      <c r="V7" s="20">
        <v>16000.0</v>
      </c>
      <c r="W7" s="20">
        <v>16000.0</v>
      </c>
      <c r="X7" s="20">
        <v>16000.0</v>
      </c>
      <c r="Y7" s="20">
        <v>16000.0</v>
      </c>
      <c r="Z7" s="20">
        <f t="shared" si="1"/>
        <v>384000</v>
      </c>
    </row>
    <row r="8">
      <c r="A8" s="34" t="s">
        <v>129</v>
      </c>
      <c r="B8" s="20">
        <v>12000.0</v>
      </c>
      <c r="C8" s="20">
        <v>12000.0</v>
      </c>
      <c r="D8" s="20">
        <v>12000.0</v>
      </c>
      <c r="E8" s="20">
        <v>12000.0</v>
      </c>
      <c r="F8" s="20">
        <v>12000.0</v>
      </c>
      <c r="G8" s="20">
        <v>12000.0</v>
      </c>
      <c r="H8" s="20">
        <v>12000.0</v>
      </c>
      <c r="I8" s="20">
        <v>12000.0</v>
      </c>
      <c r="J8" s="20">
        <v>12000.0</v>
      </c>
      <c r="K8" s="20">
        <v>12000.0</v>
      </c>
      <c r="L8" s="20">
        <v>12000.0</v>
      </c>
      <c r="M8" s="20">
        <v>12000.0</v>
      </c>
      <c r="N8" s="20">
        <v>12000.0</v>
      </c>
      <c r="O8" s="20">
        <v>12000.0</v>
      </c>
      <c r="P8" s="20">
        <v>12000.0</v>
      </c>
      <c r="Q8" s="20">
        <v>12000.0</v>
      </c>
      <c r="R8" s="20">
        <v>12000.0</v>
      </c>
      <c r="S8" s="20">
        <v>12000.0</v>
      </c>
      <c r="T8" s="20">
        <v>12000.0</v>
      </c>
      <c r="U8" s="20">
        <v>12000.0</v>
      </c>
      <c r="V8" s="20">
        <v>12000.0</v>
      </c>
      <c r="W8" s="20">
        <v>12000.0</v>
      </c>
      <c r="X8" s="20">
        <v>12000.0</v>
      </c>
      <c r="Y8" s="20">
        <v>12000.0</v>
      </c>
      <c r="Z8" s="20">
        <f t="shared" si="1"/>
        <v>288000</v>
      </c>
    </row>
    <row r="9">
      <c r="A9" s="34" t="s">
        <v>130</v>
      </c>
      <c r="B9" s="20">
        <v>12000.0</v>
      </c>
      <c r="C9" s="20">
        <v>12000.0</v>
      </c>
      <c r="D9" s="20">
        <v>12000.0</v>
      </c>
      <c r="E9" s="20">
        <v>12000.0</v>
      </c>
      <c r="F9" s="20">
        <v>12000.0</v>
      </c>
      <c r="G9" s="20">
        <v>12000.0</v>
      </c>
      <c r="H9" s="20">
        <v>12000.0</v>
      </c>
      <c r="I9" s="20">
        <v>12000.0</v>
      </c>
      <c r="J9" s="20">
        <v>12000.0</v>
      </c>
      <c r="K9" s="20">
        <v>12000.0</v>
      </c>
      <c r="L9" s="20">
        <v>12000.0</v>
      </c>
      <c r="M9" s="20">
        <v>12000.0</v>
      </c>
      <c r="N9" s="20">
        <v>12000.0</v>
      </c>
      <c r="O9" s="20">
        <v>12000.0</v>
      </c>
      <c r="P9" s="20">
        <v>12000.0</v>
      </c>
      <c r="Q9" s="20">
        <v>12000.0</v>
      </c>
      <c r="R9" s="20">
        <v>12000.0</v>
      </c>
      <c r="S9" s="20">
        <v>12000.0</v>
      </c>
      <c r="T9" s="20">
        <v>12000.0</v>
      </c>
      <c r="U9" s="20">
        <v>12000.0</v>
      </c>
      <c r="V9" s="20">
        <v>12000.0</v>
      </c>
      <c r="W9" s="20">
        <v>12000.0</v>
      </c>
      <c r="X9" s="20">
        <v>12000.0</v>
      </c>
      <c r="Y9" s="20">
        <v>12000.0</v>
      </c>
      <c r="Z9" s="20">
        <f t="shared" si="1"/>
        <v>288000</v>
      </c>
    </row>
    <row r="10">
      <c r="A10" s="34" t="s">
        <v>131</v>
      </c>
      <c r="B10" s="20">
        <v>6000.0</v>
      </c>
      <c r="C10" s="20">
        <v>6000.0</v>
      </c>
      <c r="D10" s="20">
        <v>6000.0</v>
      </c>
      <c r="E10" s="20">
        <v>6000.0</v>
      </c>
      <c r="F10" s="20">
        <v>6000.0</v>
      </c>
      <c r="G10" s="20">
        <v>6000.0</v>
      </c>
      <c r="H10" s="20">
        <v>6000.0</v>
      </c>
      <c r="I10" s="20">
        <v>6000.0</v>
      </c>
      <c r="J10" s="20">
        <v>6000.0</v>
      </c>
      <c r="K10" s="20">
        <v>6000.0</v>
      </c>
      <c r="L10" s="20">
        <v>6000.0</v>
      </c>
      <c r="M10" s="20">
        <v>6000.0</v>
      </c>
      <c r="N10" s="20">
        <v>6000.0</v>
      </c>
      <c r="O10" s="20">
        <v>6000.0</v>
      </c>
      <c r="P10" s="20">
        <v>6000.0</v>
      </c>
      <c r="Q10" s="20">
        <v>6000.0</v>
      </c>
      <c r="R10" s="20">
        <v>6000.0</v>
      </c>
      <c r="S10" s="20">
        <v>6000.0</v>
      </c>
      <c r="T10" s="20">
        <v>6000.0</v>
      </c>
      <c r="U10" s="20">
        <v>6000.0</v>
      </c>
      <c r="V10" s="20">
        <v>6000.0</v>
      </c>
      <c r="W10" s="20">
        <v>6000.0</v>
      </c>
      <c r="X10" s="20">
        <v>6000.0</v>
      </c>
      <c r="Y10" s="20">
        <v>6000.0</v>
      </c>
      <c r="Z10" s="20">
        <f t="shared" si="1"/>
        <v>144000</v>
      </c>
    </row>
    <row r="11">
      <c r="A11" s="34" t="s">
        <v>132</v>
      </c>
      <c r="B11" s="20">
        <v>7000.0</v>
      </c>
      <c r="C11" s="20">
        <v>7000.0</v>
      </c>
      <c r="D11" s="20">
        <v>7000.0</v>
      </c>
      <c r="E11" s="20">
        <v>7000.0</v>
      </c>
      <c r="F11" s="20">
        <v>7000.0</v>
      </c>
      <c r="G11" s="20">
        <v>7000.0</v>
      </c>
      <c r="H11" s="20">
        <v>7000.0</v>
      </c>
      <c r="I11" s="20">
        <v>7000.0</v>
      </c>
      <c r="J11" s="20">
        <v>7000.0</v>
      </c>
      <c r="K11" s="20">
        <v>7000.0</v>
      </c>
      <c r="L11" s="20">
        <v>7000.0</v>
      </c>
      <c r="M11" s="20">
        <v>7000.0</v>
      </c>
      <c r="N11" s="20">
        <v>7000.0</v>
      </c>
      <c r="O11" s="20">
        <v>7000.0</v>
      </c>
      <c r="P11" s="20">
        <v>7000.0</v>
      </c>
      <c r="Q11" s="20">
        <v>7000.0</v>
      </c>
      <c r="R11" s="20">
        <v>7000.0</v>
      </c>
      <c r="S11" s="20">
        <v>7000.0</v>
      </c>
      <c r="T11" s="20">
        <v>7000.0</v>
      </c>
      <c r="U11" s="20">
        <v>7000.0</v>
      </c>
      <c r="V11" s="20">
        <v>7000.0</v>
      </c>
      <c r="W11" s="20">
        <v>7000.0</v>
      </c>
      <c r="X11" s="20">
        <v>7000.0</v>
      </c>
      <c r="Y11" s="20">
        <v>7000.0</v>
      </c>
      <c r="Z11" s="20">
        <f t="shared" si="1"/>
        <v>168000</v>
      </c>
    </row>
    <row r="12">
      <c r="A12" s="34" t="s">
        <v>133</v>
      </c>
      <c r="B12" s="20">
        <v>7000.0</v>
      </c>
      <c r="C12" s="20">
        <v>7000.0</v>
      </c>
      <c r="D12" s="20">
        <v>7000.0</v>
      </c>
      <c r="E12" s="20">
        <v>7000.0</v>
      </c>
      <c r="F12" s="20">
        <v>7000.0</v>
      </c>
      <c r="G12" s="20">
        <v>7000.0</v>
      </c>
      <c r="H12" s="20">
        <v>7000.0</v>
      </c>
      <c r="I12" s="20">
        <v>7000.0</v>
      </c>
      <c r="J12" s="20">
        <v>7000.0</v>
      </c>
      <c r="K12" s="20">
        <v>7000.0</v>
      </c>
      <c r="L12" s="20">
        <v>7000.0</v>
      </c>
      <c r="M12" s="20">
        <v>7000.0</v>
      </c>
      <c r="N12" s="20">
        <v>7000.0</v>
      </c>
      <c r="O12" s="20">
        <v>7000.0</v>
      </c>
      <c r="P12" s="20">
        <v>7000.0</v>
      </c>
      <c r="Q12" s="20">
        <v>7000.0</v>
      </c>
      <c r="R12" s="20">
        <v>7000.0</v>
      </c>
      <c r="S12" s="20">
        <v>7000.0</v>
      </c>
      <c r="T12" s="20">
        <v>7000.0</v>
      </c>
      <c r="U12" s="20">
        <v>7000.0</v>
      </c>
      <c r="V12" s="20">
        <v>7000.0</v>
      </c>
      <c r="W12" s="20">
        <v>7000.0</v>
      </c>
      <c r="X12" s="20">
        <v>7000.0</v>
      </c>
      <c r="Y12" s="20">
        <v>7000.0</v>
      </c>
      <c r="Z12" s="20">
        <f t="shared" si="1"/>
        <v>168000</v>
      </c>
    </row>
    <row r="13">
      <c r="A13" s="3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 t="s">
        <v>72</v>
      </c>
      <c r="B14" s="37">
        <f t="shared" ref="B14:Y14" si="2">SUM(B4:B13)</f>
        <v>108000</v>
      </c>
      <c r="C14" s="37">
        <f t="shared" si="2"/>
        <v>108000</v>
      </c>
      <c r="D14" s="37">
        <f t="shared" si="2"/>
        <v>108000</v>
      </c>
      <c r="E14" s="37">
        <f t="shared" si="2"/>
        <v>108000</v>
      </c>
      <c r="F14" s="37">
        <f t="shared" si="2"/>
        <v>108000</v>
      </c>
      <c r="G14" s="37">
        <f t="shared" si="2"/>
        <v>108000</v>
      </c>
      <c r="H14" s="37">
        <f t="shared" si="2"/>
        <v>108000</v>
      </c>
      <c r="I14" s="37">
        <f t="shared" si="2"/>
        <v>108000</v>
      </c>
      <c r="J14" s="37">
        <f t="shared" si="2"/>
        <v>108000</v>
      </c>
      <c r="K14" s="37">
        <f t="shared" si="2"/>
        <v>108000</v>
      </c>
      <c r="L14" s="37">
        <f t="shared" si="2"/>
        <v>108000</v>
      </c>
      <c r="M14" s="37">
        <f t="shared" si="2"/>
        <v>108000</v>
      </c>
      <c r="N14" s="37">
        <f t="shared" si="2"/>
        <v>108000</v>
      </c>
      <c r="O14" s="37">
        <f t="shared" si="2"/>
        <v>108000</v>
      </c>
      <c r="P14" s="37">
        <f t="shared" si="2"/>
        <v>108000</v>
      </c>
      <c r="Q14" s="37">
        <f t="shared" si="2"/>
        <v>108000</v>
      </c>
      <c r="R14" s="37">
        <f t="shared" si="2"/>
        <v>108000</v>
      </c>
      <c r="S14" s="37">
        <f t="shared" si="2"/>
        <v>108000</v>
      </c>
      <c r="T14" s="37">
        <f t="shared" si="2"/>
        <v>108000</v>
      </c>
      <c r="U14" s="37">
        <f t="shared" si="2"/>
        <v>108000</v>
      </c>
      <c r="V14" s="37">
        <f t="shared" si="2"/>
        <v>108000</v>
      </c>
      <c r="W14" s="37">
        <f t="shared" si="2"/>
        <v>108000</v>
      </c>
      <c r="X14" s="37">
        <f t="shared" si="2"/>
        <v>108000</v>
      </c>
      <c r="Y14" s="37">
        <f t="shared" si="2"/>
        <v>108000</v>
      </c>
      <c r="Z14" s="37">
        <f>SUM(B14:Y14)</f>
        <v>2592000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5" width="11.0"/>
    <col customWidth="1" min="26" max="26" width="14.0"/>
  </cols>
  <sheetData>
    <row r="1">
      <c r="A1" s="16" t="s">
        <v>134</v>
      </c>
    </row>
    <row r="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33" t="s">
        <v>11</v>
      </c>
      <c r="J3" s="33" t="s">
        <v>12</v>
      </c>
      <c r="K3" s="33" t="s">
        <v>13</v>
      </c>
      <c r="L3" s="33" t="s">
        <v>14</v>
      </c>
      <c r="M3" s="33" t="s">
        <v>15</v>
      </c>
      <c r="N3" s="33" t="s">
        <v>37</v>
      </c>
      <c r="O3" s="33" t="s">
        <v>38</v>
      </c>
      <c r="P3" s="33" t="s">
        <v>39</v>
      </c>
      <c r="Q3" s="33" t="s">
        <v>40</v>
      </c>
      <c r="R3" s="33" t="s">
        <v>41</v>
      </c>
      <c r="S3" s="33" t="s">
        <v>42</v>
      </c>
      <c r="T3" s="33" t="s">
        <v>43</v>
      </c>
      <c r="U3" s="33" t="s">
        <v>44</v>
      </c>
      <c r="V3" s="33" t="s">
        <v>45</v>
      </c>
      <c r="W3" s="33" t="s">
        <v>46</v>
      </c>
      <c r="X3" s="33" t="s">
        <v>47</v>
      </c>
      <c r="Y3" s="33" t="s">
        <v>48</v>
      </c>
      <c r="Z3" s="33" t="s">
        <v>16</v>
      </c>
    </row>
    <row r="4">
      <c r="A4" s="34" t="s">
        <v>135</v>
      </c>
      <c r="B4" s="20">
        <v>4166.666666666667</v>
      </c>
      <c r="C4" s="20">
        <v>4166.666666666667</v>
      </c>
      <c r="D4" s="20">
        <v>4166.666666666667</v>
      </c>
      <c r="E4" s="20">
        <v>4166.666666666667</v>
      </c>
      <c r="F4" s="20">
        <v>4166.666666666667</v>
      </c>
      <c r="G4" s="20">
        <v>4166.666666666667</v>
      </c>
      <c r="H4" s="20">
        <v>4166.666666666667</v>
      </c>
      <c r="I4" s="20">
        <v>4166.666666666667</v>
      </c>
      <c r="J4" s="20">
        <v>4166.666666666667</v>
      </c>
      <c r="K4" s="20">
        <v>4166.666666666667</v>
      </c>
      <c r="L4" s="20">
        <v>4166.666666666667</v>
      </c>
      <c r="M4" s="20">
        <v>4166.666666666667</v>
      </c>
      <c r="N4" s="20">
        <v>4166.666666666667</v>
      </c>
      <c r="O4" s="20">
        <v>4166.666666666667</v>
      </c>
      <c r="P4" s="20">
        <v>4166.666666666667</v>
      </c>
      <c r="Q4" s="20">
        <v>4166.666666666667</v>
      </c>
      <c r="R4" s="20">
        <v>4166.666666666667</v>
      </c>
      <c r="S4" s="20">
        <v>4166.666666666667</v>
      </c>
      <c r="T4" s="20">
        <v>4166.666666666667</v>
      </c>
      <c r="U4" s="20">
        <v>4166.666666666667</v>
      </c>
      <c r="V4" s="20">
        <v>4166.666666666667</v>
      </c>
      <c r="W4" s="20">
        <v>4166.666666666667</v>
      </c>
      <c r="X4" s="20">
        <v>4166.666666666667</v>
      </c>
      <c r="Y4" s="20">
        <v>4166.666666666667</v>
      </c>
      <c r="Z4" s="20">
        <f t="shared" ref="Z4:Z8" si="1">SUM(B4:Y4)</f>
        <v>100000</v>
      </c>
    </row>
    <row r="5">
      <c r="A5" s="34" t="s">
        <v>136</v>
      </c>
      <c r="B5" s="20">
        <v>2083.333333333333</v>
      </c>
      <c r="C5" s="20">
        <v>2083.333333333333</v>
      </c>
      <c r="D5" s="20">
        <v>2083.333333333333</v>
      </c>
      <c r="E5" s="20">
        <v>2083.333333333333</v>
      </c>
      <c r="F5" s="20">
        <v>2083.333333333333</v>
      </c>
      <c r="G5" s="20">
        <v>2083.333333333333</v>
      </c>
      <c r="H5" s="20">
        <v>2083.333333333333</v>
      </c>
      <c r="I5" s="20">
        <v>2083.333333333333</v>
      </c>
      <c r="J5" s="20">
        <v>2083.333333333333</v>
      </c>
      <c r="K5" s="20">
        <v>2083.333333333333</v>
      </c>
      <c r="L5" s="20">
        <v>2083.333333333333</v>
      </c>
      <c r="M5" s="20">
        <v>2083.333333333333</v>
      </c>
      <c r="N5" s="20">
        <v>2083.333333333333</v>
      </c>
      <c r="O5" s="20">
        <v>2083.333333333333</v>
      </c>
      <c r="P5" s="20">
        <v>2083.333333333333</v>
      </c>
      <c r="Q5" s="20">
        <v>2083.333333333333</v>
      </c>
      <c r="R5" s="20">
        <v>2083.333333333333</v>
      </c>
      <c r="S5" s="20">
        <v>2083.333333333333</v>
      </c>
      <c r="T5" s="20">
        <v>2083.333333333333</v>
      </c>
      <c r="U5" s="20">
        <v>2083.333333333333</v>
      </c>
      <c r="V5" s="20">
        <v>2083.333333333333</v>
      </c>
      <c r="W5" s="20">
        <v>2083.333333333333</v>
      </c>
      <c r="X5" s="20">
        <v>2083.333333333333</v>
      </c>
      <c r="Y5" s="20">
        <v>2083.333333333333</v>
      </c>
      <c r="Z5" s="20">
        <f t="shared" si="1"/>
        <v>50000</v>
      </c>
    </row>
    <row r="6">
      <c r="A6" s="34" t="s">
        <v>137</v>
      </c>
      <c r="B6" s="20">
        <v>2083.333333333333</v>
      </c>
      <c r="C6" s="20">
        <v>2083.333333333333</v>
      </c>
      <c r="D6" s="20">
        <v>2083.333333333333</v>
      </c>
      <c r="E6" s="20">
        <v>2083.333333333333</v>
      </c>
      <c r="F6" s="20">
        <v>2083.333333333333</v>
      </c>
      <c r="G6" s="20">
        <v>2083.333333333333</v>
      </c>
      <c r="H6" s="20">
        <v>2083.333333333333</v>
      </c>
      <c r="I6" s="20">
        <v>2083.333333333333</v>
      </c>
      <c r="J6" s="20">
        <v>2083.333333333333</v>
      </c>
      <c r="K6" s="20">
        <v>2083.333333333333</v>
      </c>
      <c r="L6" s="20">
        <v>2083.333333333333</v>
      </c>
      <c r="M6" s="20">
        <v>2083.333333333333</v>
      </c>
      <c r="N6" s="20">
        <v>2083.333333333333</v>
      </c>
      <c r="O6" s="20">
        <v>2083.333333333333</v>
      </c>
      <c r="P6" s="20">
        <v>2083.333333333333</v>
      </c>
      <c r="Q6" s="20">
        <v>2083.333333333333</v>
      </c>
      <c r="R6" s="20">
        <v>2083.333333333333</v>
      </c>
      <c r="S6" s="20">
        <v>2083.333333333333</v>
      </c>
      <c r="T6" s="20">
        <v>2083.333333333333</v>
      </c>
      <c r="U6" s="20">
        <v>2083.333333333333</v>
      </c>
      <c r="V6" s="20">
        <v>2083.333333333333</v>
      </c>
      <c r="W6" s="20">
        <v>2083.333333333333</v>
      </c>
      <c r="X6" s="20">
        <v>2083.333333333333</v>
      </c>
      <c r="Y6" s="20">
        <v>2083.333333333333</v>
      </c>
      <c r="Z6" s="20">
        <f t="shared" si="1"/>
        <v>50000</v>
      </c>
    </row>
    <row r="7">
      <c r="A7" s="34" t="s">
        <v>138</v>
      </c>
      <c r="B7" s="20">
        <v>3125.0</v>
      </c>
      <c r="C7" s="20">
        <v>3125.0</v>
      </c>
      <c r="D7" s="20">
        <v>3125.0</v>
      </c>
      <c r="E7" s="20">
        <v>3125.0</v>
      </c>
      <c r="F7" s="20">
        <v>3125.0</v>
      </c>
      <c r="G7" s="20">
        <v>3125.0</v>
      </c>
      <c r="H7" s="20">
        <v>3125.0</v>
      </c>
      <c r="I7" s="20">
        <v>3125.0</v>
      </c>
      <c r="J7" s="20">
        <v>3125.0</v>
      </c>
      <c r="K7" s="20">
        <v>3125.0</v>
      </c>
      <c r="L7" s="20">
        <v>3125.0</v>
      </c>
      <c r="M7" s="20">
        <v>3125.0</v>
      </c>
      <c r="N7" s="20">
        <v>3125.0</v>
      </c>
      <c r="O7" s="20">
        <v>3125.0</v>
      </c>
      <c r="P7" s="20">
        <v>3125.0</v>
      </c>
      <c r="Q7" s="20">
        <v>3125.0</v>
      </c>
      <c r="R7" s="20">
        <v>3125.0</v>
      </c>
      <c r="S7" s="20">
        <v>3125.0</v>
      </c>
      <c r="T7" s="20">
        <v>3125.0</v>
      </c>
      <c r="U7" s="20">
        <v>3125.0</v>
      </c>
      <c r="V7" s="20">
        <v>3125.0</v>
      </c>
      <c r="W7" s="20">
        <v>3125.0</v>
      </c>
      <c r="X7" s="20">
        <v>3125.0</v>
      </c>
      <c r="Y7" s="20">
        <v>3125.0</v>
      </c>
      <c r="Z7" s="20">
        <f t="shared" si="1"/>
        <v>75000</v>
      </c>
    </row>
    <row r="8">
      <c r="A8" s="34" t="s">
        <v>139</v>
      </c>
      <c r="B8" s="20">
        <v>5208.333333333333</v>
      </c>
      <c r="C8" s="20">
        <v>5208.333333333333</v>
      </c>
      <c r="D8" s="20">
        <v>5208.333333333333</v>
      </c>
      <c r="E8" s="20">
        <v>5208.333333333333</v>
      </c>
      <c r="F8" s="20">
        <v>5208.333333333333</v>
      </c>
      <c r="G8" s="20">
        <v>5208.333333333333</v>
      </c>
      <c r="H8" s="20">
        <v>5208.333333333333</v>
      </c>
      <c r="I8" s="20">
        <v>5208.333333333333</v>
      </c>
      <c r="J8" s="20">
        <v>5208.333333333333</v>
      </c>
      <c r="K8" s="20">
        <v>5208.333333333333</v>
      </c>
      <c r="L8" s="20">
        <v>5208.333333333333</v>
      </c>
      <c r="M8" s="20">
        <v>5208.333333333333</v>
      </c>
      <c r="N8" s="20">
        <v>5208.333333333333</v>
      </c>
      <c r="O8" s="20">
        <v>5208.333333333333</v>
      </c>
      <c r="P8" s="20">
        <v>5208.333333333333</v>
      </c>
      <c r="Q8" s="20">
        <v>5208.333333333333</v>
      </c>
      <c r="R8" s="20">
        <v>5208.333333333333</v>
      </c>
      <c r="S8" s="20">
        <v>5208.333333333333</v>
      </c>
      <c r="T8" s="20">
        <v>5208.333333333333</v>
      </c>
      <c r="U8" s="20">
        <v>5208.333333333333</v>
      </c>
      <c r="V8" s="20">
        <v>5208.333333333333</v>
      </c>
      <c r="W8" s="20">
        <v>5208.333333333333</v>
      </c>
      <c r="X8" s="20">
        <v>5208.333333333333</v>
      </c>
      <c r="Y8" s="20">
        <v>5208.333333333333</v>
      </c>
      <c r="Z8" s="20">
        <f t="shared" si="1"/>
        <v>125000</v>
      </c>
    </row>
    <row r="9">
      <c r="A9" s="34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 t="s">
        <v>72</v>
      </c>
      <c r="B10" s="37">
        <f t="shared" ref="B10:Y10" si="2">SUM(B4:B9)</f>
        <v>16666.66667</v>
      </c>
      <c r="C10" s="37">
        <f t="shared" si="2"/>
        <v>16666.66667</v>
      </c>
      <c r="D10" s="37">
        <f t="shared" si="2"/>
        <v>16666.66667</v>
      </c>
      <c r="E10" s="37">
        <f t="shared" si="2"/>
        <v>16666.66667</v>
      </c>
      <c r="F10" s="37">
        <f t="shared" si="2"/>
        <v>16666.66667</v>
      </c>
      <c r="G10" s="37">
        <f t="shared" si="2"/>
        <v>16666.66667</v>
      </c>
      <c r="H10" s="37">
        <f t="shared" si="2"/>
        <v>16666.66667</v>
      </c>
      <c r="I10" s="37">
        <f t="shared" si="2"/>
        <v>16666.66667</v>
      </c>
      <c r="J10" s="37">
        <f t="shared" si="2"/>
        <v>16666.66667</v>
      </c>
      <c r="K10" s="37">
        <f t="shared" si="2"/>
        <v>16666.66667</v>
      </c>
      <c r="L10" s="37">
        <f t="shared" si="2"/>
        <v>16666.66667</v>
      </c>
      <c r="M10" s="37">
        <f t="shared" si="2"/>
        <v>16666.66667</v>
      </c>
      <c r="N10" s="37">
        <f t="shared" si="2"/>
        <v>16666.66667</v>
      </c>
      <c r="O10" s="37">
        <f t="shared" si="2"/>
        <v>16666.66667</v>
      </c>
      <c r="P10" s="37">
        <f t="shared" si="2"/>
        <v>16666.66667</v>
      </c>
      <c r="Q10" s="37">
        <f t="shared" si="2"/>
        <v>16666.66667</v>
      </c>
      <c r="R10" s="37">
        <f t="shared" si="2"/>
        <v>16666.66667</v>
      </c>
      <c r="S10" s="37">
        <f t="shared" si="2"/>
        <v>16666.66667</v>
      </c>
      <c r="T10" s="37">
        <f t="shared" si="2"/>
        <v>16666.66667</v>
      </c>
      <c r="U10" s="37">
        <f t="shared" si="2"/>
        <v>16666.66667</v>
      </c>
      <c r="V10" s="37">
        <f t="shared" si="2"/>
        <v>16666.66667</v>
      </c>
      <c r="W10" s="37">
        <f t="shared" si="2"/>
        <v>16666.66667</v>
      </c>
      <c r="X10" s="37">
        <f t="shared" si="2"/>
        <v>16666.66667</v>
      </c>
      <c r="Y10" s="37">
        <f t="shared" si="2"/>
        <v>16666.66667</v>
      </c>
      <c r="Z10" s="37">
        <f>SUM(B10:Y10)</f>
        <v>400000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5" width="11.0"/>
    <col customWidth="1" min="26" max="26" width="14.0"/>
  </cols>
  <sheetData>
    <row r="1">
      <c r="A1" s="16" t="s">
        <v>140</v>
      </c>
    </row>
    <row r="3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33" t="s">
        <v>11</v>
      </c>
      <c r="J3" s="33" t="s">
        <v>12</v>
      </c>
      <c r="K3" s="33" t="s">
        <v>13</v>
      </c>
      <c r="L3" s="33" t="s">
        <v>14</v>
      </c>
      <c r="M3" s="33" t="s">
        <v>15</v>
      </c>
      <c r="N3" s="33" t="s">
        <v>37</v>
      </c>
      <c r="O3" s="33" t="s">
        <v>38</v>
      </c>
      <c r="P3" s="33" t="s">
        <v>39</v>
      </c>
      <c r="Q3" s="33" t="s">
        <v>40</v>
      </c>
      <c r="R3" s="33" t="s">
        <v>41</v>
      </c>
      <c r="S3" s="33" t="s">
        <v>42</v>
      </c>
      <c r="T3" s="33" t="s">
        <v>43</v>
      </c>
      <c r="U3" s="33" t="s">
        <v>44</v>
      </c>
      <c r="V3" s="33" t="s">
        <v>45</v>
      </c>
      <c r="W3" s="33" t="s">
        <v>46</v>
      </c>
      <c r="X3" s="33" t="s">
        <v>47</v>
      </c>
      <c r="Y3" s="33" t="s">
        <v>48</v>
      </c>
      <c r="Z3" s="33" t="s">
        <v>16</v>
      </c>
    </row>
    <row r="4">
      <c r="A4" s="19" t="s">
        <v>78</v>
      </c>
      <c r="B4" s="20">
        <f>Inputs_Assumptions!$B$4</f>
        <v>2500000</v>
      </c>
      <c r="C4" s="20">
        <f t="shared" ref="C4:Y4" si="1">B6</f>
        <v>2340000</v>
      </c>
      <c r="D4" s="20">
        <f t="shared" si="1"/>
        <v>2180000</v>
      </c>
      <c r="E4" s="20">
        <f t="shared" si="1"/>
        <v>2020000</v>
      </c>
      <c r="F4" s="20">
        <f t="shared" si="1"/>
        <v>1860000</v>
      </c>
      <c r="G4" s="20">
        <f t="shared" si="1"/>
        <v>1721250</v>
      </c>
      <c r="H4" s="20">
        <f t="shared" si="1"/>
        <v>1599500</v>
      </c>
      <c r="I4" s="20">
        <f t="shared" si="1"/>
        <v>1499000</v>
      </c>
      <c r="J4" s="20">
        <f t="shared" si="1"/>
        <v>1419750</v>
      </c>
      <c r="K4" s="20">
        <f t="shared" si="1"/>
        <v>1366000</v>
      </c>
      <c r="L4" s="20">
        <f t="shared" si="1"/>
        <v>1337750</v>
      </c>
      <c r="M4" s="20">
        <f t="shared" si="1"/>
        <v>1335000</v>
      </c>
      <c r="N4" s="20">
        <f t="shared" si="1"/>
        <v>1357750</v>
      </c>
      <c r="O4" s="20">
        <f t="shared" si="1"/>
        <v>1400750</v>
      </c>
      <c r="P4" s="20">
        <f t="shared" si="1"/>
        <v>1463340.909</v>
      </c>
      <c r="Q4" s="20">
        <f t="shared" si="1"/>
        <v>1549772.727</v>
      </c>
      <c r="R4" s="20">
        <f t="shared" si="1"/>
        <v>1664295.455</v>
      </c>
      <c r="S4" s="20">
        <f t="shared" si="1"/>
        <v>1811159.091</v>
      </c>
      <c r="T4" s="20">
        <f t="shared" si="1"/>
        <v>1994613.636</v>
      </c>
      <c r="U4" s="20">
        <f t="shared" si="1"/>
        <v>2214659.091</v>
      </c>
      <c r="V4" s="20">
        <f t="shared" si="1"/>
        <v>2479795.455</v>
      </c>
      <c r="W4" s="20">
        <f t="shared" si="1"/>
        <v>2798522.727</v>
      </c>
      <c r="X4" s="20">
        <f t="shared" si="1"/>
        <v>3179340.909</v>
      </c>
      <c r="Y4" s="20">
        <f t="shared" si="1"/>
        <v>3630750</v>
      </c>
      <c r="Z4" s="23"/>
    </row>
    <row r="5">
      <c r="A5" s="19" t="s">
        <v>141</v>
      </c>
      <c r="B5" s="20">
        <f>Master_Proforma!B16</f>
        <v>-160000</v>
      </c>
      <c r="C5" s="20">
        <f>Master_Proforma!C16</f>
        <v>-160000</v>
      </c>
      <c r="D5" s="20">
        <f>Master_Proforma!D16</f>
        <v>-160000</v>
      </c>
      <c r="E5" s="20">
        <f>Master_Proforma!E16</f>
        <v>-160000</v>
      </c>
      <c r="F5" s="20">
        <f>Master_Proforma!F16</f>
        <v>-138750</v>
      </c>
      <c r="G5" s="20">
        <f>Master_Proforma!G16</f>
        <v>-121750</v>
      </c>
      <c r="H5" s="20">
        <f>Master_Proforma!H16</f>
        <v>-100500</v>
      </c>
      <c r="I5" s="20">
        <f>Master_Proforma!I16</f>
        <v>-79250</v>
      </c>
      <c r="J5" s="20">
        <f>Master_Proforma!J16</f>
        <v>-53750</v>
      </c>
      <c r="K5" s="20">
        <f>Master_Proforma!K16</f>
        <v>-28250</v>
      </c>
      <c r="L5" s="20">
        <f>Master_Proforma!L16</f>
        <v>-2750</v>
      </c>
      <c r="M5" s="20">
        <f>Master_Proforma!M16</f>
        <v>22750</v>
      </c>
      <c r="N5" s="20">
        <f>Master_Proforma!N16</f>
        <v>43000</v>
      </c>
      <c r="O5" s="20">
        <f>Master_Proforma!O16</f>
        <v>62590.90909</v>
      </c>
      <c r="P5" s="20">
        <f>Master_Proforma!P16</f>
        <v>86431.81818</v>
      </c>
      <c r="Q5" s="20">
        <f>Master_Proforma!Q16</f>
        <v>114522.7273</v>
      </c>
      <c r="R5" s="20">
        <f>Master_Proforma!R16</f>
        <v>146863.6364</v>
      </c>
      <c r="S5" s="20">
        <f>Master_Proforma!S16</f>
        <v>183454.5455</v>
      </c>
      <c r="T5" s="20">
        <f>Master_Proforma!T16</f>
        <v>220045.4545</v>
      </c>
      <c r="U5" s="20">
        <f>Master_Proforma!U16</f>
        <v>265136.3636</v>
      </c>
      <c r="V5" s="20">
        <f>Master_Proforma!V16</f>
        <v>318727.2727</v>
      </c>
      <c r="W5" s="20">
        <f>Master_Proforma!W16</f>
        <v>380818.1818</v>
      </c>
      <c r="X5" s="20">
        <f>Master_Proforma!X16</f>
        <v>451409.0909</v>
      </c>
      <c r="Y5" s="20">
        <f>Master_Proforma!Y16</f>
        <v>530500</v>
      </c>
      <c r="Z5" s="20">
        <f>SUM(B5:Y5)</f>
        <v>1661250</v>
      </c>
    </row>
    <row r="6">
      <c r="A6" s="24" t="s">
        <v>142</v>
      </c>
      <c r="B6" s="37">
        <f t="shared" ref="B6:Y6" si="2">B4+B5</f>
        <v>2340000</v>
      </c>
      <c r="C6" s="37">
        <f t="shared" si="2"/>
        <v>2180000</v>
      </c>
      <c r="D6" s="37">
        <f t="shared" si="2"/>
        <v>2020000</v>
      </c>
      <c r="E6" s="37">
        <f t="shared" si="2"/>
        <v>1860000</v>
      </c>
      <c r="F6" s="37">
        <f t="shared" si="2"/>
        <v>1721250</v>
      </c>
      <c r="G6" s="37">
        <f t="shared" si="2"/>
        <v>1599500</v>
      </c>
      <c r="H6" s="37">
        <f t="shared" si="2"/>
        <v>1499000</v>
      </c>
      <c r="I6" s="37">
        <f t="shared" si="2"/>
        <v>1419750</v>
      </c>
      <c r="J6" s="37">
        <f t="shared" si="2"/>
        <v>1366000</v>
      </c>
      <c r="K6" s="37">
        <f t="shared" si="2"/>
        <v>1337750</v>
      </c>
      <c r="L6" s="37">
        <f t="shared" si="2"/>
        <v>1335000</v>
      </c>
      <c r="M6" s="37">
        <f t="shared" si="2"/>
        <v>1357750</v>
      </c>
      <c r="N6" s="37">
        <f t="shared" si="2"/>
        <v>1400750</v>
      </c>
      <c r="O6" s="37">
        <f t="shared" si="2"/>
        <v>1463340.909</v>
      </c>
      <c r="P6" s="37">
        <f t="shared" si="2"/>
        <v>1549772.727</v>
      </c>
      <c r="Q6" s="37">
        <f t="shared" si="2"/>
        <v>1664295.455</v>
      </c>
      <c r="R6" s="37">
        <f t="shared" si="2"/>
        <v>1811159.091</v>
      </c>
      <c r="S6" s="37">
        <f t="shared" si="2"/>
        <v>1994613.636</v>
      </c>
      <c r="T6" s="37">
        <f t="shared" si="2"/>
        <v>2214659.091</v>
      </c>
      <c r="U6" s="37">
        <f t="shared" si="2"/>
        <v>2479795.455</v>
      </c>
      <c r="V6" s="37">
        <f t="shared" si="2"/>
        <v>2798522.727</v>
      </c>
      <c r="W6" s="37">
        <f t="shared" si="2"/>
        <v>3179340.909</v>
      </c>
      <c r="X6" s="37">
        <f t="shared" si="2"/>
        <v>3630750</v>
      </c>
      <c r="Y6" s="37">
        <f t="shared" si="2"/>
        <v>4161250</v>
      </c>
      <c r="Z6" s="37">
        <f>Y6</f>
        <v>4161250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Z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2026-02-05T17:24:02Z</dcterms:created>
  <dc:creator>openpyxl</dc:creator>
</cp:coreProperties>
</file>